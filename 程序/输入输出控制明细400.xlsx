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_Work\JSZW双向智能折边机\JSZW400\程序\"/>
    </mc:Choice>
  </mc:AlternateContent>
  <xr:revisionPtr revIDLastSave="0" documentId="13_ncr:1_{D491B942-70E9-42BB-9196-828438F379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O列表" sheetId="1" r:id="rId1"/>
    <sheet name="ADS通信规程" sheetId="2" r:id="rId2"/>
    <sheet name="Sheet1" sheetId="11" r:id="rId3"/>
    <sheet name="锥度计算" sheetId="7" r:id="rId4"/>
    <sheet name="可以设置的参数" sheetId="3" r:id="rId5"/>
    <sheet name="变频与伺服" sheetId="5" r:id="rId6"/>
    <sheet name="ConfigData" sheetId="4" r:id="rId7"/>
    <sheet name="后挡计算" sheetId="6" r:id="rId8"/>
    <sheet name="调试测试数据" sheetId="8" r:id="rId9"/>
    <sheet name="进料分组" sheetId="10" r:id="rId10"/>
    <sheet name="IO映射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8" l="1"/>
  <c r="I24" i="8"/>
  <c r="H24" i="8"/>
  <c r="G24" i="8"/>
  <c r="F24" i="8"/>
  <c r="E24" i="8"/>
  <c r="E2" i="7"/>
  <c r="F3" i="7" s="1"/>
  <c r="F4" i="7" s="1"/>
  <c r="C2" i="7"/>
  <c r="D3" i="7" s="1"/>
  <c r="G3" i="7" l="1"/>
  <c r="I3" i="7"/>
  <c r="H3" i="7"/>
  <c r="D4" i="7"/>
  <c r="F5" i="7"/>
  <c r="F6" i="7" l="1"/>
  <c r="D5" i="7"/>
  <c r="G4" i="7"/>
  <c r="H4" i="7" s="1"/>
  <c r="I4" i="7" l="1"/>
  <c r="D6" i="7"/>
  <c r="G5" i="7"/>
  <c r="I5" i="7" s="1"/>
  <c r="F7" i="7"/>
  <c r="G6" i="7"/>
  <c r="F8" i="7" l="1"/>
  <c r="H5" i="7"/>
  <c r="D7" i="7"/>
  <c r="I6" i="7"/>
  <c r="H6" i="7"/>
  <c r="G8" i="7" l="1"/>
  <c r="D8" i="7"/>
  <c r="G7" i="7"/>
  <c r="I7" i="7" s="1"/>
  <c r="H7" i="7" l="1"/>
  <c r="I8" i="7"/>
  <c r="H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2" authorId="0" shapeId="0" xr:uid="{62E22630-58DA-4C6C-A9DE-729775D4DD59}">
      <text>
        <r>
          <rPr>
            <b/>
            <sz val="9"/>
            <color indexed="81"/>
            <rFont val="宋体"/>
            <family val="3"/>
            <charset val="134"/>
          </rPr>
          <t>MANIFOLD A
A泵供油</t>
        </r>
      </text>
    </comment>
    <comment ref="H4" authorId="0" shapeId="0" xr:uid="{7C91C70F-9B35-4D76-94CE-474F09DED396}">
      <text>
        <r>
          <rPr>
            <b/>
            <sz val="9"/>
            <color indexed="81"/>
            <rFont val="宋体"/>
            <family val="3"/>
            <charset val="134"/>
          </rPr>
          <t>MANIFOLD B
B泵供油</t>
        </r>
      </text>
    </comment>
    <comment ref="J8" authorId="0" shapeId="0" xr:uid="{594A34B0-846C-442D-88E0-4A5D9E2CBA23}">
      <text>
        <r>
          <rPr>
            <b/>
            <sz val="9"/>
            <color indexed="81"/>
            <rFont val="宋体"/>
            <family val="3"/>
            <charset val="134"/>
          </rPr>
          <t>检测压紧压力</t>
        </r>
      </text>
    </comment>
    <comment ref="H10" authorId="0" shapeId="0" xr:uid="{FA56633D-FCD9-4206-B370-9B606A84A655}">
      <text>
        <r>
          <rPr>
            <b/>
            <sz val="9"/>
            <color indexed="81"/>
            <rFont val="宋体"/>
            <family val="3"/>
            <charset val="134"/>
          </rPr>
          <t>MANIFOLD A + B
A泵+B泵同时供油</t>
        </r>
      </text>
    </comment>
    <comment ref="H12" authorId="0" shapeId="0" xr:uid="{2BF4433E-D68E-470E-AC90-21A3D82CC2BA}">
      <text>
        <r>
          <rPr>
            <b/>
            <sz val="9"/>
            <color indexed="81"/>
            <rFont val="宋体"/>
            <family val="3"/>
            <charset val="134"/>
          </rPr>
          <t>MANIFOLD C
A泵供油</t>
        </r>
      </text>
    </comment>
    <comment ref="A22" authorId="0" shapeId="0" xr:uid="{BFE59EDB-B610-4AD8-A423-9E2C79B3C0E3}">
      <text>
        <r>
          <rPr>
            <b/>
            <sz val="9"/>
            <color indexed="81"/>
            <rFont val="宋体"/>
            <family val="3"/>
            <charset val="134"/>
          </rPr>
          <t>接近开关在后端，
亮起时才能滑动，干涉互锁。</t>
        </r>
      </text>
    </comment>
    <comment ref="A23" authorId="0" shapeId="0" xr:uid="{2EDA4708-4400-4DE3-9210-84BEA7D17DCD}">
      <text>
        <r>
          <rPr>
            <b/>
            <sz val="9"/>
            <color indexed="81"/>
            <rFont val="宋体"/>
            <family val="3"/>
            <charset val="134"/>
          </rPr>
          <t>接近开关在前端，
亮起时才能折弯，干涉互锁。</t>
        </r>
      </text>
    </comment>
    <comment ref="E24" authorId="0" shapeId="0" xr:uid="{D5748F7C-A900-4CCF-B7F2-E433798016E5}">
      <text>
        <r>
          <rPr>
            <b/>
            <sz val="9"/>
            <color indexed="81"/>
            <rFont val="宋体"/>
            <family val="3"/>
            <charset val="134"/>
          </rPr>
          <t>双作用三位置气缸</t>
        </r>
      </text>
    </comment>
    <comment ref="G24" authorId="0" shapeId="0" xr:uid="{E9C7122B-C713-433A-BB95-3AC07263DBEF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Out_GripperDatum_S0  Out_GripperDatum_S1
       FALSE               FALSE           HOME
       TRUE                FALSE           PUSH
       FALSE               TRUE            GRIP
       TRUE                TRUE            OVERGRIP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Administrator</author>
  </authors>
  <commentList>
    <comment ref="R2" authorId="0" shapeId="0" xr:uid="{D953F61B-051D-4F07-872F-60E1D6F39D01}">
      <text>
        <r>
          <rPr>
            <b/>
            <sz val="9"/>
            <color indexed="81"/>
            <rFont val="宋体"/>
            <family val="3"/>
            <charset val="134"/>
          </rPr>
          <t xml:space="preserve">
0:折弯
1:挤压
3:分条
</t>
        </r>
      </text>
    </comment>
    <comment ref="R3" authorId="0" shapeId="0" xr:uid="{54E5E42A-1569-460B-9A72-D10BD99FE49B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0:下翻板 上折
1:上翻板 下折</t>
        </r>
      </text>
    </comment>
    <comment ref="R7" authorId="0" shapeId="0" xr:uid="{D9F7DF3B-7C30-4CEF-8C34-51BF549B9B16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0: 推
1: 夹
2: 超程夹</t>
        </r>
      </text>
    </comment>
    <comment ref="R10" authorId="0" shapeId="0" xr:uid="{213C5584-A241-4E85-8C2A-7BE62845E296}">
      <text>
        <r>
          <rPr>
            <b/>
            <sz val="9"/>
            <color indexed="81"/>
            <rFont val="宋体"/>
            <family val="3"/>
            <charset val="134"/>
          </rPr>
          <t>0:NOMAL
1:重新抓取</t>
        </r>
      </text>
    </comment>
    <comment ref="I24" authorId="0" shapeId="0" xr:uid="{5F50B1D6-E120-4FC4-9E2C-146E2B3F0DBB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16位
1: 解锁后挡块
2: 锁定后挡块
3: 夹紧钳口
4: 点击折弯/开始
5: 脚踏伸出桌板
6: 脚踏缩回桌板
7: 操纵分条刀
8: 
</t>
        </r>
      </text>
    </comment>
    <comment ref="I26" authorId="0" shapeId="0" xr:uid="{E696579D-B493-4F84-B80E-DEC7C855D5C7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16位
bit0:  上翻板，折弯未在原点，禁止滑动
bit1:  上翻板，滑动未在原点，禁止折弯
bit2:  下翻板，折弯未在原点，禁止滑动
bit3:  下翻板，滑动未在原点，禁止折弯
bit4:
bit5:
bit6:
bit7:
bit8:
bit9:
bit10:
bit11:
bit12:
bit13:
bit14:
bit15: 不用</t>
        </r>
      </text>
    </comment>
    <comment ref="I28" authorId="0" shapeId="0" xr:uid="{5A76B75F-7BA7-4F8E-9C1A-D022139B0FAB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Admin:
16位
bit0:  油泵堵塞报警
bit1:  润滑堵塞报警
bit2:  立柜急停
bit3:  主控柜急停
bit4:  拉绳限位触发
bit5:  激光夹指遮挡
bit6:
bit7:
bit8:
bit9:
bit10:
bit11:
bit12:
bit13:
bit14:
bit15: 不用</t>
        </r>
      </text>
    </comment>
    <comment ref="N107" authorId="0" shapeId="0" xr:uid="{8045CB69-457A-46C5-AAF0-C2838AAA0668}">
      <text>
        <r>
          <rPr>
            <b/>
            <sz val="9"/>
            <color indexed="81"/>
            <rFont val="宋体"/>
            <family val="3"/>
            <charset val="134"/>
          </rPr>
          <t>高/中/低</t>
        </r>
      </text>
    </comment>
    <comment ref="N108" authorId="0" shapeId="0" xr:uid="{8F4F8C4C-EF33-40D2-9460-16F9377BADB0}">
      <text>
        <r>
          <rPr>
            <b/>
            <sz val="9"/>
            <color indexed="81"/>
            <rFont val="宋体"/>
            <family val="3"/>
            <charset val="134"/>
          </rPr>
          <t>最大/高中低</t>
        </r>
      </text>
    </comment>
    <comment ref="N109" authorId="1" shapeId="0" xr:uid="{154767B8-4645-4D69-8559-DC585EFF70C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进料零点到设备边缘的偏移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N1" authorId="0" shapeId="0" xr:uid="{F738F575-16CD-4C9C-BC67-C53016DAB5C0}">
      <text>
        <r>
          <rPr>
            <sz val="9"/>
            <color indexed="81"/>
            <rFont val="宋体"/>
            <family val="3"/>
            <charset val="134"/>
          </rPr>
          <t>5、15、25、35 …… 135
各个角度增加偏移量</t>
        </r>
      </text>
    </comment>
    <comment ref="A3" authorId="0" shapeId="0" xr:uid="{30C97315-7FFD-411B-AAFA-073735EF9A9D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关闭时桌板不参与工作.
打开时,手动画面多一个按钮。半自动画面多一个旋钮。</t>
        </r>
      </text>
    </comment>
    <comment ref="A4" authorId="0" shapeId="0" xr:uid="{080C99F2-C272-42FB-8288-01006EFE7B68}">
      <text>
        <r>
          <rPr>
            <b/>
            <sz val="9"/>
            <color indexed="81"/>
            <rFont val="宋体"/>
            <family val="3"/>
            <charset val="134"/>
          </rPr>
          <t>标准角度或折弯角度</t>
        </r>
      </text>
    </comment>
    <comment ref="E4" authorId="0" shapeId="0" xr:uid="{9152DB19-4465-4A77-957F-A902154DF202}">
      <text>
        <r>
          <rPr>
            <sz val="9"/>
            <color indexed="81"/>
            <rFont val="宋体"/>
            <family val="3"/>
            <charset val="134"/>
          </rPr>
          <t>从折弯点到分切刀片的距离</t>
        </r>
      </text>
    </comment>
    <comment ref="A13" authorId="0" shapeId="0" xr:uid="{503D927C-EA0A-4A26-8D8C-F32F3A5649D2}">
      <text>
        <r>
          <rPr>
            <sz val="9"/>
            <color indexed="81"/>
            <rFont val="宋体"/>
            <family val="3"/>
            <charset val="134"/>
          </rPr>
          <t>半夹紧高度是指在低速时夹钳将降低的高度。在夹紧过程中，夹钳将高速下降，直至半夹紧高度。
夹钳将在该高度自动停止，需再次踩下夹钳踏板，以较低速度继续夹紧。当开口减小到可以夹住挡指的位置时，该功能的正确操作对于确保夹具以较慢的速度移动非常重要。
注：机器正常运转时，当操作员在光幕外时，夹钳不会停止在半夹紧高度位置。</t>
        </r>
      </text>
    </comment>
    <comment ref="A15" authorId="0" shapeId="0" xr:uid="{D54E2A09-F382-4CC9-9FF5-5CCE5BA9113E}">
      <text>
        <r>
          <rPr>
            <sz val="9"/>
            <color indexed="81"/>
            <rFont val="宋体"/>
            <family val="3"/>
            <charset val="134"/>
          </rPr>
          <t>自动模式下执行的第一次150° “ 挤压折弯 ” 后的松开高度可在此处设置。
此为 “ 挤压折弯夹紧高度 ” 设置，可用于将夹钳提升到中等高度，以便将需压紧的折件完全插入到夹钳下方</t>
        </r>
      </text>
    </comment>
    <comment ref="A16" authorId="0" shapeId="0" xr:uid="{75488A27-57F9-43A0-ABCC-26F57B59523F}">
      <text>
        <r>
          <rPr>
            <sz val="9"/>
            <color indexed="81"/>
            <rFont val="宋体"/>
            <family val="3"/>
            <charset val="134"/>
          </rPr>
          <t>自动循环完成以后，迫使夹钳升至最大位置。将夹钳打开到可以轻松插入下一个工件的合适高度。</t>
        </r>
      </text>
    </comment>
  </commentList>
</comments>
</file>

<file path=xl/sharedStrings.xml><?xml version="1.0" encoding="utf-8"?>
<sst xmlns="http://schemas.openxmlformats.org/spreadsheetml/2006/main" count="2528" uniqueCount="1788">
  <si>
    <t>操作员开/关</t>
    <phoneticPr fontId="1" type="noConversion"/>
  </si>
  <si>
    <t>复位</t>
    <phoneticPr fontId="1" type="noConversion"/>
  </si>
  <si>
    <t>I0.0</t>
    <phoneticPr fontId="1" type="noConversion"/>
  </si>
  <si>
    <t>I0.1</t>
  </si>
  <si>
    <t>I0.2</t>
  </si>
  <si>
    <t>I0.3</t>
  </si>
  <si>
    <t>I0.4</t>
  </si>
  <si>
    <t>I0.5</t>
  </si>
  <si>
    <t>I1.0</t>
    <phoneticPr fontId="1" type="noConversion"/>
  </si>
  <si>
    <t>I1.3</t>
  </si>
  <si>
    <t>I1.4</t>
  </si>
  <si>
    <t>I1.5</t>
  </si>
  <si>
    <t>I1.6</t>
  </si>
  <si>
    <t>I1.7</t>
  </si>
  <si>
    <t>I2.0</t>
    <phoneticPr fontId="1" type="noConversion"/>
  </si>
  <si>
    <t>I2.1</t>
  </si>
  <si>
    <t>I2.2</t>
  </si>
  <si>
    <t>I2.3</t>
  </si>
  <si>
    <t>I2.4</t>
  </si>
  <si>
    <t>I2.5</t>
  </si>
  <si>
    <t>I2.6</t>
  </si>
  <si>
    <t>I2.7</t>
  </si>
  <si>
    <t>拉刀前进慢速接近开关</t>
    <phoneticPr fontId="1" type="noConversion"/>
  </si>
  <si>
    <t>拉刀前进停止接近开关</t>
    <phoneticPr fontId="1" type="noConversion"/>
  </si>
  <si>
    <t>I3.0</t>
    <phoneticPr fontId="1" type="noConversion"/>
  </si>
  <si>
    <t>I3.1</t>
  </si>
  <si>
    <t>I3.2</t>
  </si>
  <si>
    <t>I3.3</t>
  </si>
  <si>
    <t>I3.4</t>
  </si>
  <si>
    <t>I3.5</t>
  </si>
  <si>
    <t>I3.6</t>
  </si>
  <si>
    <t>I3.7</t>
  </si>
  <si>
    <t>I4.0</t>
    <phoneticPr fontId="1" type="noConversion"/>
  </si>
  <si>
    <t>I4.1</t>
  </si>
  <si>
    <t>I4.2</t>
  </si>
  <si>
    <t>I4.3</t>
  </si>
  <si>
    <t>I4.4</t>
  </si>
  <si>
    <t>I4.5</t>
  </si>
  <si>
    <t>I4.6</t>
  </si>
  <si>
    <t>I4.7</t>
  </si>
  <si>
    <t>I5.0</t>
    <phoneticPr fontId="1" type="noConversion"/>
  </si>
  <si>
    <t xml:space="preserve">激光光幕校准开/关 </t>
    <phoneticPr fontId="1" type="noConversion"/>
  </si>
  <si>
    <t>激光传感器</t>
    <phoneticPr fontId="1" type="noConversion"/>
  </si>
  <si>
    <t>垂直光幕（短）</t>
    <phoneticPr fontId="1" type="noConversion"/>
  </si>
  <si>
    <t>垂直光幕（长）</t>
    <phoneticPr fontId="1" type="noConversion"/>
  </si>
  <si>
    <t>水平光幕</t>
    <phoneticPr fontId="1" type="noConversion"/>
  </si>
  <si>
    <t>拉绳限位</t>
    <phoneticPr fontId="1" type="noConversion"/>
  </si>
  <si>
    <t>油泵堵塞报警</t>
    <phoneticPr fontId="1" type="noConversion"/>
  </si>
  <si>
    <t>润滑堵塞报警</t>
    <phoneticPr fontId="1" type="noConversion"/>
  </si>
  <si>
    <t>I5.1</t>
  </si>
  <si>
    <t>I5.2</t>
  </si>
  <si>
    <t>I5.3</t>
  </si>
  <si>
    <t>I5.4</t>
  </si>
  <si>
    <t>I5.5</t>
  </si>
  <si>
    <t>I5.6</t>
  </si>
  <si>
    <t>I5.7</t>
  </si>
  <si>
    <t>I6.0</t>
    <phoneticPr fontId="1" type="noConversion"/>
  </si>
  <si>
    <t>主控柜急停</t>
    <phoneticPr fontId="1" type="noConversion"/>
  </si>
  <si>
    <t>电源启动</t>
    <phoneticPr fontId="1" type="noConversion"/>
  </si>
  <si>
    <t>I6.1</t>
  </si>
  <si>
    <t>I6.2</t>
  </si>
  <si>
    <t>I6.3</t>
  </si>
  <si>
    <t>I6.4</t>
  </si>
  <si>
    <t>I6.5</t>
  </si>
  <si>
    <t>I6.6</t>
  </si>
  <si>
    <t>I6.7</t>
  </si>
  <si>
    <t>Q0.0</t>
    <phoneticPr fontId="1" type="noConversion"/>
  </si>
  <si>
    <t>Q0.1</t>
  </si>
  <si>
    <t>Q0.2</t>
  </si>
  <si>
    <t>Q0.3</t>
  </si>
  <si>
    <t>Q0.4</t>
  </si>
  <si>
    <t>Q0.5</t>
  </si>
  <si>
    <t>Q0.6</t>
  </si>
  <si>
    <t>Q0.7</t>
  </si>
  <si>
    <t>钳口放松</t>
    <phoneticPr fontId="1" type="noConversion"/>
  </si>
  <si>
    <t>钳口夹紧</t>
    <phoneticPr fontId="1" type="noConversion"/>
  </si>
  <si>
    <t>Q1.0</t>
    <phoneticPr fontId="1" type="noConversion"/>
  </si>
  <si>
    <t>Q1.1</t>
  </si>
  <si>
    <t>Q1.2</t>
  </si>
  <si>
    <t>Q1.3</t>
  </si>
  <si>
    <t>Q1.4</t>
  </si>
  <si>
    <t>Q1.5</t>
  </si>
  <si>
    <t>Q1.6</t>
  </si>
  <si>
    <t>Q1.7</t>
  </si>
  <si>
    <t>Q2.0</t>
    <phoneticPr fontId="1" type="noConversion"/>
  </si>
  <si>
    <t>后定位夹钳气缸夹紧</t>
    <phoneticPr fontId="1" type="noConversion"/>
  </si>
  <si>
    <t>挡板气缸1伸出</t>
    <phoneticPr fontId="1" type="noConversion"/>
  </si>
  <si>
    <t>挡板气缸2伸出</t>
    <phoneticPr fontId="1" type="noConversion"/>
  </si>
  <si>
    <t xml:space="preserve">油泵A正转 </t>
    <phoneticPr fontId="1" type="noConversion"/>
  </si>
  <si>
    <t>Q3.0</t>
    <phoneticPr fontId="1" type="noConversion"/>
  </si>
  <si>
    <t>Q2.1</t>
  </si>
  <si>
    <t>Q2.2</t>
  </si>
  <si>
    <t>Q2.3</t>
  </si>
  <si>
    <t>Q2.4</t>
  </si>
  <si>
    <t>Q2.5</t>
  </si>
  <si>
    <t>Q2.6</t>
  </si>
  <si>
    <t>Q2.7</t>
  </si>
  <si>
    <t>润滑泵</t>
    <phoneticPr fontId="1" type="noConversion"/>
  </si>
  <si>
    <t>备用1</t>
    <phoneticPr fontId="1" type="noConversion"/>
  </si>
  <si>
    <t>Q3.1</t>
  </si>
  <si>
    <t>Q3.2</t>
  </si>
  <si>
    <t>Q3.3</t>
  </si>
  <si>
    <t>Q3.4</t>
  </si>
  <si>
    <t>Q3.5</t>
  </si>
  <si>
    <t>Q3.6</t>
  </si>
  <si>
    <t>Q3.7</t>
  </si>
  <si>
    <t>Q4.0</t>
    <phoneticPr fontId="1" type="noConversion"/>
  </si>
  <si>
    <t>Q4.1</t>
  </si>
  <si>
    <t>Q4.2</t>
  </si>
  <si>
    <t>Q4.3</t>
  </si>
  <si>
    <t>Q4.4</t>
  </si>
  <si>
    <t>Q4.5</t>
  </si>
  <si>
    <t>Q4.6</t>
  </si>
  <si>
    <t>Q4.7</t>
  </si>
  <si>
    <t>压力传感器</t>
    <phoneticPr fontId="1" type="noConversion"/>
  </si>
  <si>
    <t>钳口高度    位移传感器</t>
    <phoneticPr fontId="1" type="noConversion"/>
  </si>
  <si>
    <t>AI0</t>
    <phoneticPr fontId="1" type="noConversion"/>
  </si>
  <si>
    <t>AI1</t>
  </si>
  <si>
    <t>AI2</t>
  </si>
  <si>
    <t>AI3</t>
  </si>
  <si>
    <t>AI4</t>
  </si>
  <si>
    <t>AI5</t>
  </si>
  <si>
    <t>输入点</t>
    <phoneticPr fontId="1" type="noConversion"/>
  </si>
  <si>
    <t>输出点</t>
    <phoneticPr fontId="1" type="noConversion"/>
  </si>
  <si>
    <t>模拟量</t>
    <phoneticPr fontId="1" type="noConversion"/>
  </si>
  <si>
    <t>BOTTOM APRON HOME SENSOR</t>
    <phoneticPr fontId="1" type="noConversion"/>
  </si>
  <si>
    <t>SLITTER RETURN SENSOR</t>
    <phoneticPr fontId="1" type="noConversion"/>
  </si>
  <si>
    <t>SLITTER RETURN SLOW SENSOR</t>
    <phoneticPr fontId="1" type="noConversion"/>
  </si>
  <si>
    <t>SLITTER FWD SENSOR</t>
    <phoneticPr fontId="1" type="noConversion"/>
  </si>
  <si>
    <t>SLITTER FWD SLOW SENSOR</t>
    <phoneticPr fontId="1" type="noConversion"/>
  </si>
  <si>
    <t>TOP APRON HOME SENSOR</t>
    <phoneticPr fontId="1" type="noConversion"/>
  </si>
  <si>
    <t>OPERATOR SWITCH</t>
    <phoneticPr fontId="1" type="noConversion"/>
  </si>
  <si>
    <t>BOTTOM APRON FWD SENSOR</t>
    <phoneticPr fontId="1" type="noConversion"/>
  </si>
  <si>
    <t>TOP APRON FWD SENSOR</t>
    <phoneticPr fontId="1" type="noConversion"/>
  </si>
  <si>
    <t>BOTTOM APRON SLIDE TRANSDUCER</t>
    <phoneticPr fontId="1" type="noConversion"/>
  </si>
  <si>
    <t>BOTTOM APRON ANGLE TRANSDUCER</t>
    <phoneticPr fontId="1" type="noConversion"/>
  </si>
  <si>
    <t>TOP APRON ANGLE  TRANSDUCER</t>
    <phoneticPr fontId="1" type="noConversion"/>
  </si>
  <si>
    <t>TOP APRON SLIDE TRANSDUCER</t>
    <phoneticPr fontId="1" type="noConversion"/>
  </si>
  <si>
    <t>CLAMP  TRANSDUCER</t>
    <phoneticPr fontId="1" type="noConversion"/>
  </si>
  <si>
    <t>HYDRAULIC PRESSURE SENSOR</t>
    <phoneticPr fontId="1" type="noConversion"/>
  </si>
  <si>
    <t>轻型/重型时作用：
轻型-中间亮
重型上折弯-前亮
重型下折弯-后亮</t>
    <phoneticPr fontId="1" type="noConversion"/>
  </si>
  <si>
    <t>操作员指示灯（红色）</t>
    <phoneticPr fontId="1" type="noConversion"/>
  </si>
  <si>
    <t>操作员指示灯（黄色）</t>
    <phoneticPr fontId="1" type="noConversion"/>
  </si>
  <si>
    <t>操作员指示灯（绿色）</t>
    <phoneticPr fontId="1" type="noConversion"/>
  </si>
  <si>
    <t>OPERATOR LAMP</t>
    <phoneticPr fontId="1" type="noConversion"/>
  </si>
  <si>
    <t>操作员指示灯蜂鸣器</t>
    <phoneticPr fontId="1" type="noConversion"/>
  </si>
  <si>
    <t>上翻板折弯原点接近开关</t>
    <phoneticPr fontId="1" type="noConversion"/>
  </si>
  <si>
    <t>上翻板滑动前进接近开关</t>
    <phoneticPr fontId="1" type="noConversion"/>
  </si>
  <si>
    <t>下翻板折弯原点接近开关</t>
    <phoneticPr fontId="1" type="noConversion"/>
  </si>
  <si>
    <t>下翻板滑动前进接近开关</t>
    <phoneticPr fontId="1" type="noConversion"/>
  </si>
  <si>
    <t xml:space="preserve">板厚调整油缸1伸出 </t>
    <phoneticPr fontId="1" type="noConversion"/>
  </si>
  <si>
    <t>板厚调整油缸1缩回</t>
    <phoneticPr fontId="1" type="noConversion"/>
  </si>
  <si>
    <t>板厚调整油缸2伸出</t>
    <phoneticPr fontId="1" type="noConversion"/>
  </si>
  <si>
    <t>板厚调整油缸2缩回</t>
    <phoneticPr fontId="1" type="noConversion"/>
  </si>
  <si>
    <t>FRONT GAUGE EXTEND VALVE</t>
    <phoneticPr fontId="1" type="noConversion"/>
  </si>
  <si>
    <t>REAR GAUGE EXTEND VALVE</t>
    <phoneticPr fontId="1" type="noConversion"/>
  </si>
  <si>
    <t>REAR GAUGE RETRACT VALVE</t>
    <phoneticPr fontId="1" type="noConversion"/>
  </si>
  <si>
    <t>FRONT GAUGE RETRACT VALVE</t>
    <phoneticPr fontId="1" type="noConversion"/>
  </si>
  <si>
    <t>下翻板折弯返回</t>
    <phoneticPr fontId="1" type="noConversion"/>
  </si>
  <si>
    <t>下翻板折弯前进</t>
    <phoneticPr fontId="1" type="noConversion"/>
  </si>
  <si>
    <t>上翻板折弯前进</t>
    <phoneticPr fontId="1" type="noConversion"/>
  </si>
  <si>
    <t>上翻板折弯返回</t>
    <phoneticPr fontId="1" type="noConversion"/>
  </si>
  <si>
    <t>CLAMP DOWN VALVE</t>
    <phoneticPr fontId="1" type="noConversion"/>
  </si>
  <si>
    <t>CLAMP UP VALVE</t>
    <phoneticPr fontId="1" type="noConversion"/>
  </si>
  <si>
    <t>AQ0</t>
    <phoneticPr fontId="1" type="noConversion"/>
  </si>
  <si>
    <t>AQ1</t>
    <phoneticPr fontId="1" type="noConversion"/>
  </si>
  <si>
    <t>上翻板角度-位移传感器</t>
    <phoneticPr fontId="1" type="noConversion"/>
  </si>
  <si>
    <t>上翻板滑动-位移传感器</t>
    <phoneticPr fontId="1" type="noConversion"/>
  </si>
  <si>
    <t>下翻板角度-位移传感器</t>
    <phoneticPr fontId="1" type="noConversion"/>
  </si>
  <si>
    <t>下翻板滑动-位移传感器</t>
    <phoneticPr fontId="1" type="noConversion"/>
  </si>
  <si>
    <t>油泵B调速</t>
    <phoneticPr fontId="1" type="noConversion"/>
  </si>
  <si>
    <t>油泵A调速</t>
    <phoneticPr fontId="1" type="noConversion"/>
  </si>
  <si>
    <t>BACKGAUGE GRIPPER VALVE</t>
    <phoneticPr fontId="1" type="noConversion"/>
  </si>
  <si>
    <t>GRIPPER FRONT DATUM</t>
    <phoneticPr fontId="1" type="noConversion"/>
  </si>
  <si>
    <t>GRIPPER REAR DATUM</t>
    <phoneticPr fontId="1" type="noConversion"/>
  </si>
  <si>
    <t>PUMP A SPEED</t>
    <phoneticPr fontId="1" type="noConversion"/>
  </si>
  <si>
    <t>PUMP B SPEED</t>
    <phoneticPr fontId="1" type="noConversion"/>
  </si>
  <si>
    <t>Light curtain - Vertical SHORT</t>
    <phoneticPr fontId="1" type="noConversion"/>
  </si>
  <si>
    <t>Light curtain - Vertical LONG</t>
    <phoneticPr fontId="1" type="noConversion"/>
  </si>
  <si>
    <t>Light curtain - Horizontal</t>
    <phoneticPr fontId="1" type="noConversion"/>
  </si>
  <si>
    <t>Laser Finger</t>
    <phoneticPr fontId="1" type="noConversion"/>
  </si>
  <si>
    <t>Rope Limit</t>
    <phoneticPr fontId="1" type="noConversion"/>
  </si>
  <si>
    <t>POWER ON</t>
    <phoneticPr fontId="1" type="noConversion"/>
  </si>
  <si>
    <t>Electric Cabinet EMG</t>
    <phoneticPr fontId="1" type="noConversion"/>
  </si>
  <si>
    <t>Handling Cabinet EMG</t>
    <phoneticPr fontId="1" type="noConversion"/>
  </si>
  <si>
    <t>RESET</t>
    <phoneticPr fontId="1" type="noConversion"/>
  </si>
  <si>
    <t>SWI无此检测，暂时先不用</t>
    <phoneticPr fontId="1" type="noConversion"/>
  </si>
  <si>
    <t>PumpJamAlarm</t>
    <phoneticPr fontId="1" type="noConversion"/>
  </si>
  <si>
    <t>LubeJamAlarm</t>
    <phoneticPr fontId="1" type="noConversion"/>
  </si>
  <si>
    <t>板厚接近开关1（FRONT OF MACHINE）</t>
    <phoneticPr fontId="1" type="noConversion"/>
  </si>
  <si>
    <t>板厚接近开关2（CENTRE OF MACHINE）</t>
    <phoneticPr fontId="1" type="noConversion"/>
  </si>
  <si>
    <t>板厚接近开关3（REAR OF MACHINE）</t>
    <phoneticPr fontId="1" type="noConversion"/>
  </si>
  <si>
    <t>TOP APRON_SLIDE FWD RELAY</t>
    <phoneticPr fontId="1" type="noConversion"/>
  </si>
  <si>
    <t>TOP APRON_FOLD FWD</t>
    <phoneticPr fontId="1" type="noConversion"/>
  </si>
  <si>
    <t>BOTTOM APRON_SLIDE FWD</t>
    <phoneticPr fontId="1" type="noConversion"/>
  </si>
  <si>
    <t>BOTTOM APRON_FOLD FWD</t>
    <phoneticPr fontId="1" type="noConversion"/>
  </si>
  <si>
    <t>TOP APRON_SLIDE BWD RELAY</t>
    <phoneticPr fontId="1" type="noConversion"/>
  </si>
  <si>
    <t>TOP APRON_FOLD BWD</t>
    <phoneticPr fontId="1" type="noConversion"/>
  </si>
  <si>
    <t>BOTTOM APRON_SLIDE BWD</t>
    <phoneticPr fontId="1" type="noConversion"/>
  </si>
  <si>
    <t>BOTTOM APRON_FOLD BWD</t>
    <phoneticPr fontId="1" type="noConversion"/>
  </si>
  <si>
    <t xml:space="preserve">PEDAL1-UNCLAMP </t>
    <phoneticPr fontId="1" type="noConversion"/>
  </si>
  <si>
    <t>PEDAL1-CLAMP</t>
    <phoneticPr fontId="1" type="noConversion"/>
  </si>
  <si>
    <t>PEDAL1-SLITTER</t>
    <phoneticPr fontId="1" type="noConversion"/>
  </si>
  <si>
    <t>PEDAL1-FOLD</t>
    <phoneticPr fontId="1" type="noConversion"/>
  </si>
  <si>
    <t>PEDAL4-CLAMP</t>
    <phoneticPr fontId="1" type="noConversion"/>
  </si>
  <si>
    <t>PEDAL4-UNCLAMP</t>
    <phoneticPr fontId="1" type="noConversion"/>
  </si>
  <si>
    <t>PEDAL3-CLAMP</t>
    <phoneticPr fontId="1" type="noConversion"/>
  </si>
  <si>
    <t>PEDAL3-UNCLAMP</t>
    <phoneticPr fontId="1" type="noConversion"/>
  </si>
  <si>
    <t>说明</t>
    <phoneticPr fontId="9" type="noConversion"/>
  </si>
  <si>
    <t>Hmi_bArray[0]</t>
    <phoneticPr fontId="9" type="noConversion"/>
  </si>
  <si>
    <t>Hmi_bArray[1]</t>
  </si>
  <si>
    <t>Hmi_bArray[2]</t>
  </si>
  <si>
    <t>Hmi_bArray[3]</t>
  </si>
  <si>
    <t>Hmi_bArray[4]</t>
  </si>
  <si>
    <t>Hmi_bArray[5]</t>
  </si>
  <si>
    <t>Hmi_bArray[6]</t>
  </si>
  <si>
    <t>Hmi_bArray[7]</t>
  </si>
  <si>
    <t>Hmi_iArray[0]</t>
    <phoneticPr fontId="9" type="noConversion"/>
  </si>
  <si>
    <t>Hmi_iArray[1]</t>
  </si>
  <si>
    <t>Hmi_iArray[2]</t>
  </si>
  <si>
    <t>Hmi_iArray[3]</t>
  </si>
  <si>
    <t>Hmi_iArray[4]</t>
  </si>
  <si>
    <t>Hmi_iArray[5]</t>
  </si>
  <si>
    <t>Hmi_iArray[6]</t>
  </si>
  <si>
    <t>Hmi_iArray[7]</t>
  </si>
  <si>
    <t>PC/PLC变量</t>
  </si>
  <si>
    <t>PC/PLC变量</t>
    <phoneticPr fontId="9" type="noConversion"/>
  </si>
  <si>
    <r>
      <rPr>
        <b/>
        <sz val="11"/>
        <color rgb="FF0000FF"/>
        <rFont val="宋体"/>
        <family val="3"/>
        <charset val="134"/>
      </rPr>
      <t>←</t>
    </r>
    <phoneticPr fontId="9" type="noConversion"/>
  </si>
  <si>
    <t>全局 - 操作员个数</t>
    <phoneticPr fontId="1" type="noConversion"/>
  </si>
  <si>
    <t>全局 - 低于半夹钳状态</t>
    <phoneticPr fontId="1" type="noConversion"/>
  </si>
  <si>
    <t>全局 - 夹钳高度</t>
    <phoneticPr fontId="1" type="noConversion"/>
  </si>
  <si>
    <t>全局 - 托板伺服位置</t>
    <phoneticPr fontId="1" type="noConversion"/>
  </si>
  <si>
    <t>全局 - 轻型/重型设置</t>
    <phoneticPr fontId="1" type="noConversion"/>
  </si>
  <si>
    <t>全局 - 机器移动状态(齿轮图标)</t>
    <phoneticPr fontId="1" type="noConversion"/>
  </si>
  <si>
    <t>Hmi_bArray[8]</t>
  </si>
  <si>
    <t>Hmi_bArray[9]</t>
  </si>
  <si>
    <t>Hmi_bArray[10]</t>
  </si>
  <si>
    <t>Hmi_bArray[11]</t>
  </si>
  <si>
    <t>Hmi_bArray[12]</t>
  </si>
  <si>
    <t>Hmi_bArray[13]</t>
  </si>
  <si>
    <t>Hmi_bArray[14]</t>
  </si>
  <si>
    <t>Hmi_bArray[15]</t>
  </si>
  <si>
    <t>Hmi_bArray[16]</t>
  </si>
  <si>
    <t>Hmi_bArray[17]</t>
  </si>
  <si>
    <t>Hmi_bArray[18]</t>
  </si>
  <si>
    <t>Hmi_bArray[19]</t>
  </si>
  <si>
    <t>Hmi_bArray[20]</t>
  </si>
  <si>
    <t>Hmi_bArray[21]</t>
  </si>
  <si>
    <t>Hmi_bArray[22]</t>
  </si>
  <si>
    <t>Hmi_bArray[24]</t>
  </si>
  <si>
    <t>Hmi_bArray[25]</t>
  </si>
  <si>
    <t>Hmi_bArray[26]</t>
  </si>
  <si>
    <t>→</t>
    <phoneticPr fontId="9" type="noConversion"/>
  </si>
  <si>
    <t>手动 - 开始手动</t>
    <phoneticPr fontId="1" type="noConversion"/>
  </si>
  <si>
    <t>手动 - 归位桌板和后挡块</t>
    <phoneticPr fontId="1" type="noConversion"/>
  </si>
  <si>
    <t>手动 - 翻板向下</t>
    <phoneticPr fontId="1" type="noConversion"/>
  </si>
  <si>
    <t>手动 - 自由折弯标志</t>
    <phoneticPr fontId="1" type="noConversion"/>
  </si>
  <si>
    <t>Hmi_iArray[8]</t>
  </si>
  <si>
    <t>Hmi_iArray[9]</t>
  </si>
  <si>
    <t>Hmi_iArray[10]</t>
  </si>
  <si>
    <t>Hmi_iArray[11]</t>
  </si>
  <si>
    <t>Hmi_iArray[12]</t>
  </si>
  <si>
    <t>Hmi_iArray[13]</t>
  </si>
  <si>
    <t>Hmi_iArray[14]</t>
  </si>
  <si>
    <t>Hmi_iArray[15]</t>
  </si>
  <si>
    <t>Hmi_iArray[16]</t>
  </si>
  <si>
    <t>Hmi_iArray[17]</t>
  </si>
  <si>
    <t>Hmi_iArray[18]</t>
  </si>
  <si>
    <t>Hmi_iArray[19]</t>
  </si>
  <si>
    <t>Hmi_iArray[20]</t>
  </si>
  <si>
    <t>Hmi_iArray[22]</t>
  </si>
  <si>
    <t>Hmi_iArray[23]</t>
  </si>
  <si>
    <t>Hmi_iArray[24]</t>
  </si>
  <si>
    <t>Hmi_iArray[25]</t>
  </si>
  <si>
    <t>Hmi_iArray[26]</t>
  </si>
  <si>
    <t>Hmi_iArray[27]</t>
  </si>
  <si>
    <t>Hmi_iArray[28]</t>
  </si>
  <si>
    <t>Hmi_iArray[29]</t>
  </si>
  <si>
    <t>手动 - 移动后挡块-位置</t>
    <phoneticPr fontId="1" type="noConversion"/>
  </si>
  <si>
    <t>手动 - 移动后挡块-命令</t>
    <phoneticPr fontId="1" type="noConversion"/>
  </si>
  <si>
    <t>手动 - 移动加载桌板-命令</t>
    <phoneticPr fontId="1" type="noConversion"/>
  </si>
  <si>
    <t>手动 - 滑动顶部翻板-位置</t>
    <phoneticPr fontId="1" type="noConversion"/>
  </si>
  <si>
    <t>手动 - 滑动底部翻板-位置</t>
    <phoneticPr fontId="1" type="noConversion"/>
  </si>
  <si>
    <t>手动 - 移动加载桌板-位置</t>
    <phoneticPr fontId="1" type="noConversion"/>
  </si>
  <si>
    <t>Hmi_bArray[27]</t>
  </si>
  <si>
    <t>Hmi_bArray[28]</t>
  </si>
  <si>
    <t>Hmi_bArray[29]</t>
  </si>
  <si>
    <t>Hmi_bArray[30]</t>
  </si>
  <si>
    <t>Hmi_bArray[31]</t>
  </si>
  <si>
    <t>Hmi_bArray[32]</t>
  </si>
  <si>
    <t>Hmi_bArray[33]</t>
  </si>
  <si>
    <t>Hmi_bArray[34]</t>
  </si>
  <si>
    <t>Hmi_bArray[35]</t>
  </si>
  <si>
    <t>Hmi_bArray[36]</t>
  </si>
  <si>
    <t>Hmi_bArray[37]</t>
  </si>
  <si>
    <t>Hmi_bArray[38]</t>
  </si>
  <si>
    <t>Hmi_bArray[39]</t>
  </si>
  <si>
    <t>Hmi_bArray[40]</t>
  </si>
  <si>
    <t>Hmi_iArray[30]</t>
  </si>
  <si>
    <t>Hmi_iArray[31]</t>
  </si>
  <si>
    <t>Hmi_iArray[32]</t>
  </si>
  <si>
    <t>Hmi_iArray[33]</t>
  </si>
  <si>
    <t>Hmi_iArray[34]</t>
  </si>
  <si>
    <t>Hmi_iArray[35]</t>
  </si>
  <si>
    <t>Hmi_iArray[36]</t>
  </si>
  <si>
    <t>Hmi_iArray[37]</t>
  </si>
  <si>
    <t>Hmi_iArray[38]</t>
  </si>
  <si>
    <t>Hmi_iArray[39]</t>
  </si>
  <si>
    <t>Hmi_iArray[40]</t>
  </si>
  <si>
    <t>半自动 - 开始半自动</t>
    <phoneticPr fontId="1" type="noConversion"/>
  </si>
  <si>
    <t>半自动 - 连续/步进</t>
    <phoneticPr fontId="1" type="noConversion"/>
  </si>
  <si>
    <t>半自动 - 分条开关</t>
    <phoneticPr fontId="1" type="noConversion"/>
  </si>
  <si>
    <t>半自动 - 后挡块开关</t>
    <phoneticPr fontId="1" type="noConversion"/>
  </si>
  <si>
    <t>半自动 - 启动选择</t>
    <phoneticPr fontId="1" type="noConversion"/>
  </si>
  <si>
    <t>半自动 - 下一步</t>
    <phoneticPr fontId="1" type="noConversion"/>
  </si>
  <si>
    <t>半自动 - 计数</t>
    <phoneticPr fontId="1" type="noConversion"/>
  </si>
  <si>
    <t>半自动 - 重置计数</t>
    <phoneticPr fontId="1" type="noConversion"/>
  </si>
  <si>
    <t>Hmi_bArray[41]</t>
  </si>
  <si>
    <t>Hmi_bArray[42]</t>
  </si>
  <si>
    <t>Hmi_bArray[43]</t>
  </si>
  <si>
    <t>Hmi_bArray[44]</t>
  </si>
  <si>
    <t>Hmi_bArray[45]</t>
  </si>
  <si>
    <t>Hmi_bArray[46]</t>
  </si>
  <si>
    <t>Hmi_bArray[47]</t>
  </si>
  <si>
    <t>Hmi_bArray[48]</t>
  </si>
  <si>
    <t>Hmi_bArray[49]</t>
  </si>
  <si>
    <t>Hmi_bArray[50]</t>
  </si>
  <si>
    <t>Hmi_bArray[52]</t>
  </si>
  <si>
    <t>Hmi_bArray[53]</t>
  </si>
  <si>
    <t>Hmi_bArray[54]</t>
  </si>
  <si>
    <t>Hmi_bArray[56]</t>
  </si>
  <si>
    <t>Hmi_bArray[57]</t>
  </si>
  <si>
    <t>Hmi_bArray[58]</t>
  </si>
  <si>
    <t>Hmi_bArray[59]</t>
  </si>
  <si>
    <t>Hmi_bArray[61]</t>
  </si>
  <si>
    <t>Hmi_bArray[62]</t>
  </si>
  <si>
    <t>Hmi_bArray[63]</t>
  </si>
  <si>
    <t>Hmi_bArray[64]</t>
  </si>
  <si>
    <t>Hmi_bArray[65]</t>
  </si>
  <si>
    <t>Hmi_bArray[66]</t>
  </si>
  <si>
    <t>Hmi_bArray[67]</t>
  </si>
  <si>
    <t>Hmi_bArray[68]</t>
  </si>
  <si>
    <t>Hmi_bArray[69]</t>
  </si>
  <si>
    <t>Hmi_bArray[70]</t>
  </si>
  <si>
    <t>Hmi_bArray[71]</t>
  </si>
  <si>
    <t>Hmi_bArray[72]</t>
  </si>
  <si>
    <t>Hmi_bArray[73]</t>
  </si>
  <si>
    <t>Hmi_bArray[74]</t>
  </si>
  <si>
    <t>Hmi_bArray[75]</t>
  </si>
  <si>
    <t>Hmi_bArray[76]</t>
  </si>
  <si>
    <t>Hmi_bArray[77]</t>
  </si>
  <si>
    <t>Hmi_bArray[78]</t>
  </si>
  <si>
    <t>Hmi_bArray[79]</t>
  </si>
  <si>
    <t>Hmi_iArray[41]</t>
  </si>
  <si>
    <t>Hmi_iArray[42]</t>
  </si>
  <si>
    <t>Hmi_iArray[43]</t>
  </si>
  <si>
    <t>Hmi_iArray[44]</t>
  </si>
  <si>
    <t>Hmi_iArray[45]</t>
  </si>
  <si>
    <t>Hmi_iArray[46]</t>
  </si>
  <si>
    <t>Hmi_iArray[47]</t>
  </si>
  <si>
    <t>Hmi_iArray[48]</t>
  </si>
  <si>
    <t>Hmi_iArray[49]</t>
  </si>
  <si>
    <t>Hmi_iArray[50]</t>
  </si>
  <si>
    <t>Hmi_iArray[51]</t>
  </si>
  <si>
    <t>Hmi_iArray[52]</t>
  </si>
  <si>
    <t>Hmi_iArray[53]</t>
  </si>
  <si>
    <t>Hmi_iArray[54]</t>
  </si>
  <si>
    <t>Hmi_iArray[55]</t>
  </si>
  <si>
    <t>Hmi_iArray[56]</t>
  </si>
  <si>
    <t>Hmi_iArray[57]</t>
  </si>
  <si>
    <t>Hmi_iArray[58]</t>
  </si>
  <si>
    <t>Hmi_iArray[59]</t>
  </si>
  <si>
    <t>Hmi_iArray[60]</t>
  </si>
  <si>
    <t>Hmi_iArray[61]</t>
  </si>
  <si>
    <t>Hmi_iArray[62]</t>
  </si>
  <si>
    <t>Hmi_iArray[63]</t>
  </si>
  <si>
    <t>Hmi_iArray[64]</t>
  </si>
  <si>
    <t>Hmi_iArray[65]</t>
  </si>
  <si>
    <t>Hmi_iArray[66]</t>
  </si>
  <si>
    <t>Hmi_iArray[67]</t>
  </si>
  <si>
    <t>Hmi_iArray[68]</t>
  </si>
  <si>
    <t>Hmi_iArray[69]</t>
  </si>
  <si>
    <t>Hmi_iArray[70]</t>
  </si>
  <si>
    <t>Hmi_iArray[71]</t>
  </si>
  <si>
    <t>Hmi_iArray[72]</t>
  </si>
  <si>
    <t>Hmi_iArray[73]</t>
  </si>
  <si>
    <t>Hmi_iArray[74]</t>
  </si>
  <si>
    <t>Hmi_iArray[75]</t>
  </si>
  <si>
    <t>Hmi_iArray[76]</t>
  </si>
  <si>
    <t>Hmi_iArray[77]</t>
  </si>
  <si>
    <t>Hmi_iArray[78]</t>
  </si>
  <si>
    <t>Hmi_iArray[79]</t>
  </si>
  <si>
    <t>半自动 -  s1-行动类型</t>
    <phoneticPr fontId="1" type="noConversion"/>
  </si>
  <si>
    <t>半自动 -  s1-折弯角度</t>
    <phoneticPr fontId="1" type="noConversion"/>
  </si>
  <si>
    <t>半自动 -  s1-材料回弹</t>
    <phoneticPr fontId="1" type="noConversion"/>
  </si>
  <si>
    <t>半自动 -  s1-抓取类型</t>
    <phoneticPr fontId="1" type="noConversion"/>
  </si>
  <si>
    <t>半自动 -  s1-松开夹钳高度</t>
    <phoneticPr fontId="1" type="noConversion"/>
  </si>
  <si>
    <t>半自动 -  s1-翻板收缩</t>
    <phoneticPr fontId="1" type="noConversion"/>
  </si>
  <si>
    <t>半自动 -  s2-行动类型</t>
    <phoneticPr fontId="1" type="noConversion"/>
  </si>
  <si>
    <t>半自动 -  s2-折弯角度</t>
    <phoneticPr fontId="1" type="noConversion"/>
  </si>
  <si>
    <t>半自动 -  s2-材料回弹</t>
    <phoneticPr fontId="1" type="noConversion"/>
  </si>
  <si>
    <t>半自动 -  s2-抓取类型</t>
    <phoneticPr fontId="1" type="noConversion"/>
  </si>
  <si>
    <t>半自动 -  s2-松开夹钳高度</t>
    <phoneticPr fontId="1" type="noConversion"/>
  </si>
  <si>
    <t>半自动 -  s2-翻板收缩</t>
    <phoneticPr fontId="1" type="noConversion"/>
  </si>
  <si>
    <t>S1-S20 共20步</t>
    <phoneticPr fontId="1" type="noConversion"/>
  </si>
  <si>
    <t>Hmi_iSemiAuto[1]</t>
  </si>
  <si>
    <t>Hmi_iSemiAuto[2]</t>
  </si>
  <si>
    <t>Hmi_iSemiAuto[3]</t>
  </si>
  <si>
    <t>Hmi_iSemiAuto[5]</t>
  </si>
  <si>
    <t>Hmi_iSemiAuto[6]</t>
  </si>
  <si>
    <t>Hmi_iSemiAuto[7]</t>
  </si>
  <si>
    <t>Hmi_iSemiAuto[8]</t>
  </si>
  <si>
    <t>Hmi_iSemiAuto[9]</t>
  </si>
  <si>
    <t>Hmi_iSemiAuto[10]</t>
  </si>
  <si>
    <t>Hmi_iSemiAuto[11]</t>
  </si>
  <si>
    <t>Hmi_iSemiAuto[12]</t>
  </si>
  <si>
    <t>Hmi_iSemiAuto[13]</t>
  </si>
  <si>
    <t>Hmi_iSemiAuto[14]</t>
  </si>
  <si>
    <t>Hmi_iSemiAuto[15]</t>
  </si>
  <si>
    <t>Hmi_iSemiAuto[16]</t>
  </si>
  <si>
    <t>Hmi_iSemiAuto[17]</t>
  </si>
  <si>
    <t>Hmi_iSemiAuto[18]</t>
  </si>
  <si>
    <t>Hmi_iSemiAuto[19]</t>
  </si>
  <si>
    <t>自动 -  s1-行动类型</t>
    <phoneticPr fontId="1" type="noConversion"/>
  </si>
  <si>
    <t>自动 -  s1-折弯角度</t>
    <phoneticPr fontId="1" type="noConversion"/>
  </si>
  <si>
    <t>自动 -  s1-材料回弹</t>
    <phoneticPr fontId="1" type="noConversion"/>
  </si>
  <si>
    <t>自动 -  s1-后挡块位置</t>
    <phoneticPr fontId="1" type="noConversion"/>
  </si>
  <si>
    <t>自动 -  s1-抓取类型</t>
    <phoneticPr fontId="1" type="noConversion"/>
  </si>
  <si>
    <t>自动 -  s1-松开夹钳高度</t>
    <phoneticPr fontId="1" type="noConversion"/>
  </si>
  <si>
    <t>自动 -  s1-翻板收缩</t>
    <phoneticPr fontId="1" type="noConversion"/>
  </si>
  <si>
    <t>自动 -  s2-行动类型</t>
    <phoneticPr fontId="1" type="noConversion"/>
  </si>
  <si>
    <t>自动 -  s2-折弯角度</t>
    <phoneticPr fontId="1" type="noConversion"/>
  </si>
  <si>
    <t>自动 -  s2-材料回弹</t>
    <phoneticPr fontId="1" type="noConversion"/>
  </si>
  <si>
    <t>自动 -  s2-后挡块位置</t>
    <phoneticPr fontId="1" type="noConversion"/>
  </si>
  <si>
    <t>自动 -  s2-抓取类型</t>
    <phoneticPr fontId="1" type="noConversion"/>
  </si>
  <si>
    <t>自动 -  s2-松开夹钳高度</t>
    <phoneticPr fontId="1" type="noConversion"/>
  </si>
  <si>
    <t>自动 -  s2-翻板收缩</t>
    <phoneticPr fontId="1" type="noConversion"/>
  </si>
  <si>
    <t>Hmi_iAuto[0]</t>
    <phoneticPr fontId="9" type="noConversion"/>
  </si>
  <si>
    <t>Hmi_iAuto[1]</t>
  </si>
  <si>
    <t>Hmi_iAuto[2]</t>
  </si>
  <si>
    <t>Hmi_iAuto[3]</t>
  </si>
  <si>
    <t>Hmi_iAuto[4]</t>
  </si>
  <si>
    <t>Hmi_iAuto[5]</t>
  </si>
  <si>
    <t>Hmi_iAuto[6]</t>
  </si>
  <si>
    <t>Hmi_iAuto[7]</t>
  </si>
  <si>
    <t>Hmi_iAuto[8]</t>
  </si>
  <si>
    <t>Hmi_iAuto[9]</t>
  </si>
  <si>
    <t>Hmi_iAuto[10]</t>
  </si>
  <si>
    <t>Hmi_iAuto[11]</t>
  </si>
  <si>
    <t>Hmi_iAuto[12]</t>
  </si>
  <si>
    <t>Hmi_iAuto[13]</t>
  </si>
  <si>
    <t>Hmi_iAuto[14]</t>
  </si>
  <si>
    <t>Hmi_iAuto[15]</t>
  </si>
  <si>
    <t>Hmi_iAuto[16]</t>
  </si>
  <si>
    <t>Hmi_iAuto[17]</t>
  </si>
  <si>
    <t>Hmi_iAuto[18]</t>
  </si>
  <si>
    <t>Hmi_iAuto[19]</t>
  </si>
  <si>
    <t>参数 - 夹钳-低位置</t>
    <phoneticPr fontId="1" type="noConversion"/>
  </si>
  <si>
    <t>参数 - 夹钳-中位置</t>
    <phoneticPr fontId="1" type="noConversion"/>
  </si>
  <si>
    <t>参数 - 夹钳-高位置</t>
    <phoneticPr fontId="1" type="noConversion"/>
  </si>
  <si>
    <t>参数 - 夹钳-最大位置</t>
    <phoneticPr fontId="1" type="noConversion"/>
  </si>
  <si>
    <t>参数 - 夹钳-挤压折弯夹紧高度</t>
    <phoneticPr fontId="1" type="noConversion"/>
  </si>
  <si>
    <t>参数 - 夹钳-最终折弯松开高度</t>
    <phoneticPr fontId="1" type="noConversion"/>
  </si>
  <si>
    <t>脚踏1 -钳口放松</t>
    <phoneticPr fontId="1" type="noConversion"/>
  </si>
  <si>
    <t>脚踏1 -折弯</t>
    <phoneticPr fontId="1" type="noConversion"/>
  </si>
  <si>
    <t>脚踏1 -拉刀</t>
    <phoneticPr fontId="1" type="noConversion"/>
  </si>
  <si>
    <t>脚踏1 -后定位夹钳</t>
    <phoneticPr fontId="1" type="noConversion"/>
  </si>
  <si>
    <t>CLAMP MUTE SENSOR</t>
    <phoneticPr fontId="1" type="noConversion"/>
  </si>
  <si>
    <t xml:space="preserve">钳口静音接近开关 </t>
    <phoneticPr fontId="1" type="noConversion"/>
  </si>
  <si>
    <t xml:space="preserve">拉刀原点停止接近开关 </t>
    <phoneticPr fontId="1" type="noConversion"/>
  </si>
  <si>
    <t>拉刀原点慢速接近开关</t>
    <phoneticPr fontId="1" type="noConversion"/>
  </si>
  <si>
    <t>共10*20=200个地址</t>
    <phoneticPr fontId="1" type="noConversion"/>
  </si>
  <si>
    <t>手动 - 后挡块点动前进</t>
    <phoneticPr fontId="1" type="noConversion"/>
  </si>
  <si>
    <t>手动 - 后挡块点动后退</t>
    <phoneticPr fontId="1" type="noConversion"/>
  </si>
  <si>
    <t>PC PLC</t>
    <phoneticPr fontId="1" type="noConversion"/>
  </si>
  <si>
    <t>Hmi_rArray[0]</t>
    <phoneticPr fontId="9" type="noConversion"/>
  </si>
  <si>
    <t>Hmi_rArray[1]</t>
  </si>
  <si>
    <t>Hmi_rArray[2]</t>
  </si>
  <si>
    <t>Hmi_rArray[3]</t>
  </si>
  <si>
    <t>Hmi_rArray[4]</t>
  </si>
  <si>
    <t>Hmi_rArray[5]</t>
  </si>
  <si>
    <t>Hmi_rArray[6]</t>
  </si>
  <si>
    <t>Hmi_rArray[7]</t>
  </si>
  <si>
    <t>Hmi_rArray[8]</t>
  </si>
  <si>
    <t>Hmi_rArray[9]</t>
  </si>
  <si>
    <t>Hmi_rArray[10]</t>
  </si>
  <si>
    <t>Hmi_rArray[11]</t>
  </si>
  <si>
    <t>Hmi_rArray[12]</t>
  </si>
  <si>
    <t>Hmi_rArray[13]</t>
  </si>
  <si>
    <t>Hmi_rArray[14]</t>
  </si>
  <si>
    <t>Hmi_rArray[15]</t>
  </si>
  <si>
    <t>Hmi_rArray[16]</t>
  </si>
  <si>
    <t>Hmi_rArray[17]</t>
  </si>
  <si>
    <t>Hmi_rArray[18]</t>
  </si>
  <si>
    <t>Hmi_rArray[19]</t>
  </si>
  <si>
    <t>Hmi_rArray[20]</t>
  </si>
  <si>
    <t>Hmi_rArray[21]</t>
  </si>
  <si>
    <t>Hmi_rArray[22]</t>
  </si>
  <si>
    <t>Hmi_rArray[23]</t>
  </si>
  <si>
    <t>Hmi_rArray[24]</t>
  </si>
  <si>
    <t>Hmi_rArray[25]</t>
  </si>
  <si>
    <t>Hmi_rArray[26]</t>
  </si>
  <si>
    <t>Hmi_rArray[27]</t>
  </si>
  <si>
    <t>Hmi_rArray[28]</t>
  </si>
  <si>
    <t>Hmi_rArray[29]</t>
  </si>
  <si>
    <t>Hmi_rArray[30]</t>
  </si>
  <si>
    <t>Hmi_rArray[31]</t>
  </si>
  <si>
    <t>Hmi_rArray[32]</t>
  </si>
  <si>
    <t>Hmi_rArray[33]</t>
  </si>
  <si>
    <t>Hmi_rArray[34]</t>
  </si>
  <si>
    <t>Hmi_rArray[36]</t>
  </si>
  <si>
    <t>Hmi_rArray[37]</t>
  </si>
  <si>
    <t>Hmi_rArray[38]</t>
  </si>
  <si>
    <t>ID</t>
    <phoneticPr fontId="9" type="noConversion"/>
  </si>
  <si>
    <t>Hmi_rArray[39]</t>
  </si>
  <si>
    <t>Hmi_rArray[40]</t>
  </si>
  <si>
    <t>Hmi_rArray[41]</t>
  </si>
  <si>
    <t>Hmi_rArray[42]</t>
  </si>
  <si>
    <t>Hmi_rArray[43]</t>
  </si>
  <si>
    <t>Hmi_rArray[44]</t>
  </si>
  <si>
    <t>Hmi_rArray[45]</t>
  </si>
  <si>
    <t>Hmi_rArray[46]</t>
  </si>
  <si>
    <t>Hmi_rArray[47]</t>
  </si>
  <si>
    <t>手动 - 顶部台板滑动-命令</t>
    <phoneticPr fontId="1" type="noConversion"/>
  </si>
  <si>
    <t>手动 - 底部台板滑动-命令</t>
    <phoneticPr fontId="1" type="noConversion"/>
  </si>
  <si>
    <t>手动 - 双向台板滑动-命令</t>
    <phoneticPr fontId="1" type="noConversion"/>
  </si>
  <si>
    <t>Hmi_rArray[48]</t>
  </si>
  <si>
    <t>Hmi_rArray[49]</t>
  </si>
  <si>
    <t>Hmi_rArray[50]</t>
  </si>
  <si>
    <t>Hmi_rArray[52]</t>
  </si>
  <si>
    <t>Hmi_rArray[53]</t>
  </si>
  <si>
    <t>Hmi_rArray[54]</t>
  </si>
  <si>
    <t>Hmi_rArray[55]</t>
  </si>
  <si>
    <t>Hmi_rArray[56]</t>
  </si>
  <si>
    <t>Hmi_rArray[57]</t>
  </si>
  <si>
    <t>Hmi_rArray[58]</t>
  </si>
  <si>
    <t>Hmi_rArray[59]</t>
  </si>
  <si>
    <t>Hmi_rArray[60]</t>
  </si>
  <si>
    <t xml:space="preserve">手动 - 折弯角度 </t>
    <phoneticPr fontId="1" type="noConversion"/>
  </si>
  <si>
    <t>手动 - 分条1/折弯0 (后挡基准点选择)</t>
    <phoneticPr fontId="1" type="noConversion"/>
  </si>
  <si>
    <t xml:space="preserve">手动 - </t>
    <phoneticPr fontId="1" type="noConversion"/>
  </si>
  <si>
    <t>Hmi_rSlitter[0]</t>
    <phoneticPr fontId="9" type="noConversion"/>
  </si>
  <si>
    <t>Hmi_rSlitter[1]</t>
  </si>
  <si>
    <t>Hmi_rSlitter[2]</t>
  </si>
  <si>
    <t>Hmi_rSlitter[3]</t>
  </si>
  <si>
    <t>Hmi_rSlitter[4]</t>
  </si>
  <si>
    <t>Hmi_rSlitter[5]</t>
  </si>
  <si>
    <t>Hmi_rSlitter[6]</t>
  </si>
  <si>
    <t>Hmi_rSlitter[7]</t>
  </si>
  <si>
    <t>Hmi_rSlitter[8]</t>
  </si>
  <si>
    <t>Hmi_rSlitter[9]</t>
  </si>
  <si>
    <t>Hmi_rSlitter[10]</t>
  </si>
  <si>
    <t>Hmi_rSlitter[11]</t>
  </si>
  <si>
    <t>Hmi_rSlitter[12]</t>
  </si>
  <si>
    <t>Hmi_rSlitter[13]</t>
  </si>
  <si>
    <t>Hmi_rSlitter[14]</t>
  </si>
  <si>
    <t>Hmi_rSlitter[15]</t>
  </si>
  <si>
    <t>Hmi_rSlitter[16]</t>
  </si>
  <si>
    <t>Hmi_rSlitter[17]</t>
  </si>
  <si>
    <t>Hmi_rSlitter[18]</t>
  </si>
  <si>
    <t>Hmi_rSlitter[19]</t>
  </si>
  <si>
    <t>宽度1</t>
    <phoneticPr fontId="1" type="noConversion"/>
  </si>
  <si>
    <t>宽度8</t>
  </si>
  <si>
    <t>宽度9</t>
  </si>
  <si>
    <t>宽度10</t>
  </si>
  <si>
    <t>宽度2</t>
  </si>
  <si>
    <t>宽度3</t>
  </si>
  <si>
    <t>宽度4</t>
  </si>
  <si>
    <t>宽度5</t>
  </si>
  <si>
    <t>宽度6</t>
  </si>
  <si>
    <t>宽度7</t>
  </si>
  <si>
    <t>总宽度</t>
    <phoneticPr fontId="1" type="noConversion"/>
  </si>
  <si>
    <t>Hmi_rSlitter[20]</t>
  </si>
  <si>
    <t>Hmi_rSlitter[21]</t>
  </si>
  <si>
    <t>Hmi_rSlitter[22]</t>
  </si>
  <si>
    <t>Hmi_rSlitter[23]</t>
  </si>
  <si>
    <t>Hmi_rSlitter[24]</t>
  </si>
  <si>
    <t>Hmi_rSlitter[25]</t>
  </si>
  <si>
    <t>边角料</t>
    <phoneticPr fontId="1" type="noConversion"/>
  </si>
  <si>
    <t>宽度11</t>
  </si>
  <si>
    <t>宽度12</t>
  </si>
  <si>
    <t>数量1</t>
    <phoneticPr fontId="1" type="noConversion"/>
  </si>
  <si>
    <t>数量2</t>
  </si>
  <si>
    <t>数量3</t>
  </si>
  <si>
    <t>数量4</t>
  </si>
  <si>
    <t>数量5</t>
  </si>
  <si>
    <t>数量6</t>
  </si>
  <si>
    <t>数量7</t>
  </si>
  <si>
    <t>数量8</t>
  </si>
  <si>
    <t>数量9</t>
  </si>
  <si>
    <t>数量10</t>
  </si>
  <si>
    <t>数量11</t>
  </si>
  <si>
    <t>数量12</t>
  </si>
  <si>
    <t>Hmi_bArray[80]</t>
  </si>
  <si>
    <t>Hmi_bArray[81]</t>
  </si>
  <si>
    <t>Hmi_bArray[82]</t>
  </si>
  <si>
    <t>Hmi_bArray[83]</t>
  </si>
  <si>
    <t>Hmi_bArray[84]</t>
  </si>
  <si>
    <t>Hmi_bArray[85]</t>
  </si>
  <si>
    <t>Hmi_bArray[86]</t>
  </si>
  <si>
    <t>Hmi_bArray[87]</t>
  </si>
  <si>
    <t>Hmi_bArray[88]</t>
  </si>
  <si>
    <t>Hmi_bArray[89]</t>
  </si>
  <si>
    <t>Hmi_bArray[90]</t>
  </si>
  <si>
    <t>Hmi_bArray[91]</t>
  </si>
  <si>
    <t>Hmi_bArray[92]</t>
  </si>
  <si>
    <t>Hmi_bArray[93]</t>
  </si>
  <si>
    <t>Hmi_bArray[94]</t>
  </si>
  <si>
    <t>Hmi_bArray[95]</t>
  </si>
  <si>
    <t>Hmi_bArray[96]</t>
  </si>
  <si>
    <t>Hmi_iArray[80]</t>
  </si>
  <si>
    <t>Hmi_iArray[81]</t>
  </si>
  <si>
    <t>Hmi_iArray[82]</t>
  </si>
  <si>
    <t>Hmi_iArray[83]</t>
  </si>
  <si>
    <t>Hmi_iArray[84]</t>
  </si>
  <si>
    <t>Hmi_iArray[85]</t>
  </si>
  <si>
    <t>Hmi_iArray[86]</t>
  </si>
  <si>
    <t>Hmi_iArray[87]</t>
  </si>
  <si>
    <t>Hmi_iArray[88]</t>
  </si>
  <si>
    <t>Hmi_iArray[89]</t>
  </si>
  <si>
    <t>Hmi_iArray[91]</t>
  </si>
  <si>
    <t>Hmi_iArray[92]</t>
  </si>
  <si>
    <t>Hmi_iArray[93]</t>
  </si>
  <si>
    <t>Hmi_iArray[94]</t>
  </si>
  <si>
    <t>Hmi_iArray[95]</t>
  </si>
  <si>
    <t>分条 - 总片数</t>
    <phoneticPr fontId="1" type="noConversion"/>
  </si>
  <si>
    <t>分条 - 总Job数</t>
    <phoneticPr fontId="1" type="noConversion"/>
  </si>
  <si>
    <t>分条 - 当前片数</t>
    <phoneticPr fontId="1" type="noConversion"/>
  </si>
  <si>
    <t>Hmi_iArray[96]</t>
  </si>
  <si>
    <t>Hmi_iArray[97]</t>
  </si>
  <si>
    <t>Hmi_iArray[98]</t>
  </si>
  <si>
    <t>Hmi_iArray[100]</t>
  </si>
  <si>
    <t>Hmi_bArray[97]</t>
  </si>
  <si>
    <t>Hmi_bArray[98]</t>
  </si>
  <si>
    <t>Hmi_bArray[99]</t>
  </si>
  <si>
    <t>Hmi_bArray[100]</t>
  </si>
  <si>
    <t>Hmi_rSlitter[26]</t>
  </si>
  <si>
    <t>Hmi_rSlitter[27]</t>
  </si>
  <si>
    <t>Hmi_rSlitter[28]</t>
  </si>
  <si>
    <t>Hmi_rSlitter[29]</t>
  </si>
  <si>
    <t>Hmi_rSlitter[30]</t>
  </si>
  <si>
    <t>Hmi_rSlitter[31]</t>
  </si>
  <si>
    <t>Hmi_rSlitter[32]</t>
  </si>
  <si>
    <t>Hmi_rSlitter[33]</t>
  </si>
  <si>
    <t>Job总数</t>
    <phoneticPr fontId="1" type="noConversion"/>
  </si>
  <si>
    <t>全局设定 - 轻型1/重型0</t>
    <phoneticPr fontId="1" type="noConversion"/>
  </si>
  <si>
    <t>全局设定 - 双工1/单工0</t>
    <phoneticPr fontId="1" type="noConversion"/>
  </si>
  <si>
    <t>模式设置</t>
    <phoneticPr fontId="1" type="noConversion"/>
  </si>
  <si>
    <t>分条机速度</t>
    <phoneticPr fontId="1" type="noConversion"/>
  </si>
  <si>
    <t>一半/全部</t>
    <phoneticPr fontId="1" type="noConversion"/>
  </si>
  <si>
    <t>角度显示</t>
    <phoneticPr fontId="1" type="noConversion"/>
  </si>
  <si>
    <t>加载桌板</t>
    <phoneticPr fontId="1" type="noConversion"/>
  </si>
  <si>
    <t>全部</t>
    <phoneticPr fontId="1" type="noConversion"/>
  </si>
  <si>
    <t>开</t>
    <phoneticPr fontId="1" type="noConversion"/>
  </si>
  <si>
    <t>关</t>
    <phoneticPr fontId="1" type="noConversion"/>
  </si>
  <si>
    <t>松开(手动和分切模式)</t>
    <phoneticPr fontId="1" type="noConversion"/>
  </si>
  <si>
    <t>松开(自动和半自动模式)</t>
    <phoneticPr fontId="1" type="noConversion"/>
  </si>
  <si>
    <t>手动/自动</t>
    <phoneticPr fontId="1" type="noConversion"/>
  </si>
  <si>
    <t>自动</t>
    <phoneticPr fontId="1" type="noConversion"/>
  </si>
  <si>
    <t>夹紧高度设置</t>
    <phoneticPr fontId="1" type="noConversion"/>
  </si>
  <si>
    <t>夹钳设置_低</t>
    <phoneticPr fontId="1" type="noConversion"/>
  </si>
  <si>
    <t>夹钳设置_中</t>
    <phoneticPr fontId="1" type="noConversion"/>
  </si>
  <si>
    <t>夹钳设置_高</t>
    <phoneticPr fontId="1" type="noConversion"/>
  </si>
  <si>
    <t>夹钳设置_最大值</t>
    <phoneticPr fontId="1" type="noConversion"/>
  </si>
  <si>
    <t>夹钳设置_半夹钳</t>
    <phoneticPr fontId="1" type="noConversion"/>
  </si>
  <si>
    <t>挤压折弯夹紧高度</t>
    <phoneticPr fontId="1" type="noConversion"/>
  </si>
  <si>
    <t>三档可选</t>
    <phoneticPr fontId="1" type="noConversion"/>
  </si>
  <si>
    <t>四档可选</t>
    <phoneticPr fontId="1" type="noConversion"/>
  </si>
  <si>
    <t>最终折弯松开高度</t>
    <phoneticPr fontId="1" type="noConversion"/>
  </si>
  <si>
    <t>中</t>
    <phoneticPr fontId="1" type="noConversion"/>
  </si>
  <si>
    <t>高</t>
    <phoneticPr fontId="1" type="noConversion"/>
  </si>
  <si>
    <t>后挡料最大位置</t>
    <phoneticPr fontId="1" type="noConversion"/>
  </si>
  <si>
    <t>后挡料最小位置</t>
    <phoneticPr fontId="1" type="noConversion"/>
  </si>
  <si>
    <t>分切偏移</t>
    <phoneticPr fontId="1" type="noConversion"/>
  </si>
  <si>
    <t>上挡板零位</t>
    <phoneticPr fontId="1" type="noConversion"/>
  </si>
  <si>
    <t>粗加工补偿</t>
    <phoneticPr fontId="1" type="noConversion"/>
  </si>
  <si>
    <t>粗加工材料消耗量</t>
    <phoneticPr fontId="1" type="noConversion"/>
  </si>
  <si>
    <t>主后挡块原位</t>
    <phoneticPr fontId="1" type="noConversion"/>
  </si>
  <si>
    <t>T1后挡块原位</t>
    <phoneticPr fontId="1" type="noConversion"/>
  </si>
  <si>
    <t>T2后挡块原位</t>
  </si>
  <si>
    <t>T3后挡块原位</t>
  </si>
  <si>
    <t>角度映射</t>
    <phoneticPr fontId="1" type="noConversion"/>
  </si>
  <si>
    <t>后挡块及翻板设定</t>
    <phoneticPr fontId="1" type="noConversion"/>
  </si>
  <si>
    <t>机器模式尺寸(忽略)</t>
    <phoneticPr fontId="1" type="noConversion"/>
  </si>
  <si>
    <t>下拉选项</t>
    <phoneticPr fontId="1" type="noConversion"/>
  </si>
  <si>
    <t xml:space="preserve">预设角度 </t>
    <phoneticPr fontId="1" type="noConversion"/>
  </si>
  <si>
    <t>预设长度</t>
    <phoneticPr fontId="1" type="noConversion"/>
  </si>
  <si>
    <t>角度图</t>
    <phoneticPr fontId="1" type="noConversion"/>
  </si>
  <si>
    <t>设为1220毫米</t>
    <phoneticPr fontId="1" type="noConversion"/>
  </si>
  <si>
    <t>设为10毫米</t>
    <phoneticPr fontId="1" type="noConversion"/>
  </si>
  <si>
    <t>后挡停止位-反向挤压(仅自动)</t>
    <phoneticPr fontId="1" type="noConversion"/>
  </si>
  <si>
    <t>后挡停止位-开放式挤压(仅自动)</t>
    <phoneticPr fontId="1" type="noConversion"/>
  </si>
  <si>
    <t>后挡停止位-开放式反向挤压(仅自动)</t>
    <phoneticPr fontId="1" type="noConversion"/>
  </si>
  <si>
    <t>后挡停止位-上挤压(仅自动)</t>
    <phoneticPr fontId="1" type="noConversion"/>
  </si>
  <si>
    <t>后挡停止位-下挤压(仅自动)</t>
    <phoneticPr fontId="1" type="noConversion"/>
  </si>
  <si>
    <t>下挡板零位</t>
    <phoneticPr fontId="1" type="noConversion"/>
  </si>
  <si>
    <t>未明确</t>
    <phoneticPr fontId="1" type="noConversion"/>
  </si>
  <si>
    <t>全局设定 - 分条速度</t>
    <phoneticPr fontId="1" type="noConversion"/>
  </si>
  <si>
    <t>全局设定 - 加载桌板</t>
    <phoneticPr fontId="1" type="noConversion"/>
  </si>
  <si>
    <t>全局设定 - 显示为角度</t>
    <phoneticPr fontId="1" type="noConversion"/>
  </si>
  <si>
    <t>Hmi_rArray[61]</t>
  </si>
  <si>
    <t>Hmi_rArray[62]</t>
  </si>
  <si>
    <t>Hmi_rArray[63]</t>
  </si>
  <si>
    <t>Hmi_rArray[64]</t>
  </si>
  <si>
    <t>Hmi_rArray[65]</t>
  </si>
  <si>
    <t>Hmi_rArray[66]</t>
  </si>
  <si>
    <t>Hmi_rArray[67]</t>
  </si>
  <si>
    <t>Hmi_rArray[68]</t>
  </si>
  <si>
    <t>Hmi_rArray[69]</t>
  </si>
  <si>
    <t>Hmi_rArray[70]</t>
  </si>
  <si>
    <t>Hmi_rArray[71]</t>
  </si>
  <si>
    <t>Hmi_rArray[72]</t>
  </si>
  <si>
    <t>Hmi_rArray[73]</t>
  </si>
  <si>
    <t>Hmi_rArray[74]</t>
  </si>
  <si>
    <t>Hmi_rArray[75]</t>
  </si>
  <si>
    <t>Hmi_rArray[76]</t>
  </si>
  <si>
    <t>Hmi_rArray[77]</t>
  </si>
  <si>
    <t>Hmi_rArray[78]</t>
  </si>
  <si>
    <t>Hmi_rArray[79]</t>
  </si>
  <si>
    <t>Hmi_rArray[80]</t>
  </si>
  <si>
    <t>Hmi_rArray[81]</t>
  </si>
  <si>
    <t>Hmi_rArray[82]</t>
  </si>
  <si>
    <t>Hmi_rArray[83]</t>
  </si>
  <si>
    <t>Hmi_rArray[84]</t>
  </si>
  <si>
    <t>Hmi_rArray[85]</t>
  </si>
  <si>
    <t>Hmi_rArray[86]</t>
  </si>
  <si>
    <t>Hmi_rArray[87]</t>
  </si>
  <si>
    <t>Hmi_rArray[88]</t>
  </si>
  <si>
    <t>Hmi_rArray[89]</t>
  </si>
  <si>
    <t>Hmi_rArray[90]</t>
  </si>
  <si>
    <t>Hmi_rArray[91]</t>
  </si>
  <si>
    <t>Hmi_rArray[92]</t>
  </si>
  <si>
    <t>Hmi_rArray[93]</t>
  </si>
  <si>
    <t>Hmi_rArray[94]</t>
  </si>
  <si>
    <t>Hmi_rArray[95]</t>
  </si>
  <si>
    <t>Hmi_rArray[96]</t>
  </si>
  <si>
    <t>Hmi_rArray[97]</t>
  </si>
  <si>
    <t>Hmi_rArray[98]</t>
  </si>
  <si>
    <t>Hmi_rArray[99]</t>
  </si>
  <si>
    <t xml:space="preserve">后挡块最大位置 </t>
    <phoneticPr fontId="1" type="noConversion"/>
  </si>
  <si>
    <t>上翻板零位</t>
    <phoneticPr fontId="1" type="noConversion"/>
  </si>
  <si>
    <t>下翻板零位</t>
    <phoneticPr fontId="1" type="noConversion"/>
  </si>
  <si>
    <t>后挡停止位 - 上挤压(仅自动)</t>
    <phoneticPr fontId="1" type="noConversion"/>
  </si>
  <si>
    <t>后挡停止位 - 下挤压(仅自动)</t>
    <phoneticPr fontId="1" type="noConversion"/>
  </si>
  <si>
    <t>后挡停止位 - 外向挤压(仅自动)</t>
    <phoneticPr fontId="1" type="noConversion"/>
  </si>
  <si>
    <t>后挡停止位 - 开放式上挤压(仅自动)</t>
    <phoneticPr fontId="1" type="noConversion"/>
  </si>
  <si>
    <t>后挡停止位 - 开放式下挤压(仅自动)</t>
    <phoneticPr fontId="1" type="noConversion"/>
  </si>
  <si>
    <t>预设长度1</t>
    <phoneticPr fontId="1" type="noConversion"/>
  </si>
  <si>
    <t>预设长度2</t>
  </si>
  <si>
    <t>预设长度3</t>
  </si>
  <si>
    <t>预设长度4</t>
  </si>
  <si>
    <t>预设长度5</t>
  </si>
  <si>
    <t>预设长度6</t>
  </si>
  <si>
    <t>预设长度7</t>
  </si>
  <si>
    <t>预设长度8</t>
  </si>
  <si>
    <t>预设长度9</t>
  </si>
  <si>
    <t>预设长度10</t>
  </si>
  <si>
    <t>预设角度1</t>
    <phoneticPr fontId="1" type="noConversion"/>
  </si>
  <si>
    <t>预设角度2</t>
  </si>
  <si>
    <t>预设角度3</t>
  </si>
  <si>
    <t>预设角度4</t>
  </si>
  <si>
    <t>预设角度5</t>
  </si>
  <si>
    <t>预设角度6</t>
  </si>
  <si>
    <t>预设角度7</t>
  </si>
  <si>
    <t>预设角度8</t>
  </si>
  <si>
    <t>预设角度9</t>
  </si>
  <si>
    <t>预设角度10</t>
  </si>
  <si>
    <t>补偿角度-上</t>
    <phoneticPr fontId="1" type="noConversion"/>
  </si>
  <si>
    <t>补偿角度-下</t>
    <phoneticPr fontId="1" type="noConversion"/>
  </si>
  <si>
    <t>全局设定 - 松开压钳(自动/半自动)</t>
    <phoneticPr fontId="1" type="noConversion"/>
  </si>
  <si>
    <t xml:space="preserve">参数 - 夹钳-半夹钳位置 </t>
    <phoneticPr fontId="1" type="noConversion"/>
  </si>
  <si>
    <t>半自动 -  s1-折弯方向</t>
    <phoneticPr fontId="1" type="noConversion"/>
  </si>
  <si>
    <t>半自动 -  s1-后挡位置</t>
    <phoneticPr fontId="1" type="noConversion"/>
  </si>
  <si>
    <t>半自动 -  s2-折弯方向</t>
    <phoneticPr fontId="1" type="noConversion"/>
  </si>
  <si>
    <t>半自动 -  s2-后挡位置</t>
    <phoneticPr fontId="1" type="noConversion"/>
  </si>
  <si>
    <t>PEDAL2-SLITTER</t>
    <phoneticPr fontId="1" type="noConversion"/>
  </si>
  <si>
    <t>I1.1</t>
    <phoneticPr fontId="1" type="noConversion"/>
  </si>
  <si>
    <t>I0.6</t>
    <phoneticPr fontId="1" type="noConversion"/>
  </si>
  <si>
    <t>I0.7</t>
    <phoneticPr fontId="1" type="noConversion"/>
  </si>
  <si>
    <t>I1.2</t>
    <phoneticPr fontId="1" type="noConversion"/>
  </si>
  <si>
    <t>NULL</t>
    <phoneticPr fontId="1" type="noConversion"/>
  </si>
  <si>
    <t>全局 -  工作提示消息</t>
    <phoneticPr fontId="1" type="noConversion"/>
  </si>
  <si>
    <t>脚踏1 -拉刀返回</t>
    <phoneticPr fontId="1" type="noConversion"/>
  </si>
  <si>
    <t>PEDAL1-SLITTERBack</t>
    <phoneticPr fontId="1" type="noConversion"/>
  </si>
  <si>
    <t>PEDAL2-SLITTERBack</t>
    <phoneticPr fontId="1" type="noConversion"/>
  </si>
  <si>
    <t>PEDAL2-BACKGAUGE Gripper</t>
    <phoneticPr fontId="1" type="noConversion"/>
  </si>
  <si>
    <t>PEDAL1-BACKGAUGE Gripper</t>
    <phoneticPr fontId="1" type="noConversion"/>
  </si>
  <si>
    <t>1st EL3004</t>
    <phoneticPr fontId="1" type="noConversion"/>
  </si>
  <si>
    <t>2st EL3004</t>
    <phoneticPr fontId="1" type="noConversion"/>
  </si>
  <si>
    <t>1st EL4004</t>
    <phoneticPr fontId="1" type="noConversion"/>
  </si>
  <si>
    <t>全局 -  PLC警告信息</t>
    <phoneticPr fontId="1" type="noConversion"/>
  </si>
  <si>
    <t>Hmi_rArray[51]</t>
    <phoneticPr fontId="1" type="noConversion"/>
  </si>
  <si>
    <t>Hmi_iAngleMap[0]</t>
    <phoneticPr fontId="9" type="noConversion"/>
  </si>
  <si>
    <t>……</t>
    <phoneticPr fontId="1" type="noConversion"/>
  </si>
  <si>
    <t>null</t>
    <phoneticPr fontId="1" type="noConversion"/>
  </si>
  <si>
    <t>Hmi_iAngleMap[1]</t>
    <phoneticPr fontId="1" type="noConversion"/>
  </si>
  <si>
    <t>Hmi_iAngleMap[2]</t>
    <phoneticPr fontId="1" type="noConversion"/>
  </si>
  <si>
    <t>Hmi_iAngleMap[3]</t>
    <phoneticPr fontId="1" type="noConversion"/>
  </si>
  <si>
    <t>Hmi_iAngleMap[4]</t>
    <phoneticPr fontId="1" type="noConversion"/>
  </si>
  <si>
    <t>Hmi_iAngleMap[180]</t>
    <phoneticPr fontId="1" type="noConversion"/>
  </si>
  <si>
    <t>Hmi_iAngleMap[200]</t>
    <phoneticPr fontId="9" type="noConversion"/>
  </si>
  <si>
    <t>Hmi_iAngleMap[201]</t>
  </si>
  <si>
    <t>Hmi_iAngleMap[202]</t>
  </si>
  <si>
    <t>Hmi_iAngleMap[203]</t>
  </si>
  <si>
    <t>Hmi_iAngleMap[204]</t>
  </si>
  <si>
    <t>Hmi_iAngleMap[380]</t>
    <phoneticPr fontId="1" type="noConversion"/>
  </si>
  <si>
    <t>Hmi_iAngleMap[400]</t>
    <phoneticPr fontId="1" type="noConversion"/>
  </si>
  <si>
    <t>0度 (BTM)</t>
    <phoneticPr fontId="1" type="noConversion"/>
  </si>
  <si>
    <t>1度 (BTM)</t>
    <phoneticPr fontId="1" type="noConversion"/>
  </si>
  <si>
    <t>2度 (BTM)</t>
    <phoneticPr fontId="1" type="noConversion"/>
  </si>
  <si>
    <t>3度 (BTM)</t>
    <phoneticPr fontId="1" type="noConversion"/>
  </si>
  <si>
    <t>4度 (BTM)</t>
    <phoneticPr fontId="1" type="noConversion"/>
  </si>
  <si>
    <t>180度 (BTM)</t>
    <phoneticPr fontId="1" type="noConversion"/>
  </si>
  <si>
    <t>0度 (TOP)</t>
    <phoneticPr fontId="1" type="noConversion"/>
  </si>
  <si>
    <t>1度 (TOP)</t>
    <phoneticPr fontId="1" type="noConversion"/>
  </si>
  <si>
    <t>2度 (TOP)</t>
    <phoneticPr fontId="1" type="noConversion"/>
  </si>
  <si>
    <t>3度 (TOP)</t>
    <phoneticPr fontId="1" type="noConversion"/>
  </si>
  <si>
    <t>4度 (TOP)</t>
    <phoneticPr fontId="1" type="noConversion"/>
  </si>
  <si>
    <t>180度 (TOP)</t>
    <phoneticPr fontId="1" type="noConversion"/>
  </si>
  <si>
    <t>Hmi_rArray[101]</t>
  </si>
  <si>
    <t>Hmi_rArray[102]</t>
  </si>
  <si>
    <t>Hmi_rArray[103]</t>
  </si>
  <si>
    <t>Hmi_rArray[104]</t>
  </si>
  <si>
    <t>Hmi_rArray[105]</t>
  </si>
  <si>
    <t>Hmi_rArray[106]</t>
  </si>
  <si>
    <t>Hmi_rArray[108]</t>
  </si>
  <si>
    <t>Hmi_rArray[109]</t>
  </si>
  <si>
    <t>Hmi_rArray[110]</t>
  </si>
  <si>
    <t>Hmi_rArray[111]</t>
  </si>
  <si>
    <t>Hmi_rArray[112]</t>
  </si>
  <si>
    <t>Hmi_rArray[113]</t>
  </si>
  <si>
    <t>Hmi_rArray[114]</t>
  </si>
  <si>
    <t>Hmi_rArray[115]</t>
  </si>
  <si>
    <t>Hmi_rArray[116]</t>
  </si>
  <si>
    <t>Hmi_rArray[117]</t>
  </si>
  <si>
    <t>Hmi_rArray[118]</t>
  </si>
  <si>
    <t>Hmi_rArray[119]</t>
  </si>
  <si>
    <t>Hmi_rArray[120]</t>
  </si>
  <si>
    <t>Hmi_rArray[121]</t>
  </si>
  <si>
    <t>Hmi_rArray[122]</t>
  </si>
  <si>
    <t>Hmi_rArray[123]</t>
  </si>
  <si>
    <t>Hmi_rArray[124]</t>
  </si>
  <si>
    <t>Hmi_rArray[125]</t>
  </si>
  <si>
    <t>Hmi_rArray[126]</t>
  </si>
  <si>
    <t>Hmi_rArray[127]</t>
  </si>
  <si>
    <t>Hmi_rArray[128]</t>
  </si>
  <si>
    <t>Hmi_rArray[129]</t>
  </si>
  <si>
    <t>Hmi_rArray[130]</t>
  </si>
  <si>
    <t>Hmi_rArray[131]</t>
  </si>
  <si>
    <t>Hmi_rArray[132]</t>
  </si>
  <si>
    <t>Hmi_rArray[133]</t>
  </si>
  <si>
    <t>Hmi_rArray[134]</t>
  </si>
  <si>
    <t>Hmi_rArray[135]</t>
  </si>
  <si>
    <t>Hmi_rArray[136]</t>
  </si>
  <si>
    <t>Hmi_rArray[137]</t>
  </si>
  <si>
    <t>Hmi_rArray[138]</t>
  </si>
  <si>
    <t>Hmi_rArray[139]</t>
  </si>
  <si>
    <t>Hmi_rArray[140]</t>
  </si>
  <si>
    <t>Hmi_rArray[141]</t>
  </si>
  <si>
    <t>Hmi_rArray[142]</t>
  </si>
  <si>
    <t>Hmi_rArray[143]</t>
  </si>
  <si>
    <t>Hmi_rArray[144]</t>
  </si>
  <si>
    <t>Hmi_rArray[145]</t>
  </si>
  <si>
    <t>Hmi_rArray[146]</t>
  </si>
  <si>
    <t>Hmi_rArray[147]</t>
  </si>
  <si>
    <t>Hmi_rArray[148]</t>
  </si>
  <si>
    <t>Hmi_rArray[149]</t>
  </si>
  <si>
    <t>Hmi_rArray[150]</t>
  </si>
  <si>
    <t>Hmi_rArray[151]</t>
  </si>
  <si>
    <t>Hmi_rArray[152]</t>
  </si>
  <si>
    <t>Hmi_rArray[153]</t>
  </si>
  <si>
    <t>Hmi_rArray[154]</t>
  </si>
  <si>
    <t>Hmi_rArray[155]</t>
  </si>
  <si>
    <t>Hmi_rArray[156]</t>
  </si>
  <si>
    <t>Hmi_rArray[157]</t>
  </si>
  <si>
    <t>Hmi_rArray[158]</t>
  </si>
  <si>
    <t>Hmi_rArray[159]</t>
  </si>
  <si>
    <t>Hmi_rArray[160]</t>
  </si>
  <si>
    <t>Hmi_rArray[161]</t>
  </si>
  <si>
    <t>Hmi_rArray[162]</t>
  </si>
  <si>
    <t>Hmi_rArray[163]</t>
  </si>
  <si>
    <t>Hmi_rArray[164]</t>
  </si>
  <si>
    <t>Hmi_rArray[165]</t>
  </si>
  <si>
    <t>Hmi_rArray[166]</t>
  </si>
  <si>
    <t>Hmi_rArray[167]</t>
  </si>
  <si>
    <t>Hmi_rArray[168]</t>
  </si>
  <si>
    <t>Hmi_rArray[169]</t>
  </si>
  <si>
    <t>Hmi_rArray[170]</t>
  </si>
  <si>
    <t>Hmi_rArray[171]</t>
  </si>
  <si>
    <t>Hmi_rArray[172]</t>
  </si>
  <si>
    <t>Hmi_rArray[173]</t>
  </si>
  <si>
    <t>Hmi_rArray[174]</t>
  </si>
  <si>
    <t>Hmi_rArray[175]</t>
  </si>
  <si>
    <t>Hmi_rArray[176]</t>
  </si>
  <si>
    <t>Hmi_rArray[177]</t>
  </si>
  <si>
    <t>Hmi_rArray[178]</t>
  </si>
  <si>
    <t>Hmi_rArray[179]</t>
  </si>
  <si>
    <t>Hmi_rArray[180]</t>
  </si>
  <si>
    <t>Hmi_rArray[181]</t>
  </si>
  <si>
    <t>Hmi_rArray[182]</t>
  </si>
  <si>
    <t>Hmi_rArray[183]</t>
  </si>
  <si>
    <t>Hmi_rArray[184]</t>
  </si>
  <si>
    <t>Hmi_rArray[185]</t>
  </si>
  <si>
    <t>Hmi_rArray[186]</t>
  </si>
  <si>
    <t>Hmi_rArray[187]</t>
  </si>
  <si>
    <t>Hmi_rArray[188]</t>
  </si>
  <si>
    <t>全局设定 - 材料选择</t>
    <phoneticPr fontId="1" type="noConversion"/>
  </si>
  <si>
    <t>ConfigData[0]</t>
    <phoneticPr fontId="1" type="noConversion"/>
  </si>
  <si>
    <t>ConfigData[1]</t>
  </si>
  <si>
    <t>ConfigData[2]</t>
  </si>
  <si>
    <t>ConfigData[3]</t>
  </si>
  <si>
    <t>ConfigData[4]</t>
  </si>
  <si>
    <t>ConfigData[5]</t>
  </si>
  <si>
    <t>ConfigData[6]</t>
  </si>
  <si>
    <t>ConfigData[7]</t>
  </si>
  <si>
    <t>ConfigData[8]</t>
  </si>
  <si>
    <t>ConfigData[9]</t>
  </si>
  <si>
    <t>ConfigData[10]</t>
  </si>
  <si>
    <t>ConfigData[11]</t>
  </si>
  <si>
    <t>ConfigData[12]</t>
  </si>
  <si>
    <t>ConfigData[13]</t>
  </si>
  <si>
    <t>ConfigData[14]</t>
  </si>
  <si>
    <t>ConfigData[15]</t>
  </si>
  <si>
    <t>ConfigData[16]</t>
  </si>
  <si>
    <t>ConfigData[17]</t>
  </si>
  <si>
    <t>ConfigData[18]</t>
  </si>
  <si>
    <t>ConfigData[19]</t>
  </si>
  <si>
    <t>ConfigData[20]</t>
  </si>
  <si>
    <t>ConfigData[21]</t>
  </si>
  <si>
    <t>ConfigData[22]</t>
  </si>
  <si>
    <t>ConfigData[23]</t>
  </si>
  <si>
    <t>ConfigData[24]</t>
  </si>
  <si>
    <t>ConfigData[25]</t>
  </si>
  <si>
    <t>ConfigData[26]</t>
  </si>
  <si>
    <t>ConfigData[27]</t>
  </si>
  <si>
    <t>ConfigData[28]</t>
  </si>
  <si>
    <t>ConfigData[29]</t>
  </si>
  <si>
    <t>ConfigData[30]</t>
  </si>
  <si>
    <t>ConfigData[31]</t>
  </si>
  <si>
    <t>ConfigData[32]</t>
  </si>
  <si>
    <t>ConfigData[33]</t>
  </si>
  <si>
    <t>ConfigData[34]</t>
  </si>
  <si>
    <t>ConfigData[35]</t>
  </si>
  <si>
    <t>ConfigData[36]</t>
  </si>
  <si>
    <t>ConfigData[37]</t>
  </si>
  <si>
    <t>轻型/重型</t>
    <phoneticPr fontId="1" type="noConversion"/>
  </si>
  <si>
    <t>单工/双工</t>
    <phoneticPr fontId="1" type="noConversion"/>
  </si>
  <si>
    <t>加载桌板开关</t>
    <phoneticPr fontId="1" type="noConversion"/>
  </si>
  <si>
    <t>分条机速度开关</t>
    <phoneticPr fontId="1" type="noConversion"/>
  </si>
  <si>
    <t>角度显示开关</t>
    <phoneticPr fontId="1" type="noConversion"/>
  </si>
  <si>
    <t>松开方式(仅手动和分切</t>
    <phoneticPr fontId="1" type="noConversion"/>
  </si>
  <si>
    <t>松开方式(仅自动和半自动</t>
    <phoneticPr fontId="1" type="noConversion"/>
  </si>
  <si>
    <t>Hmi_bArray[0]</t>
    <phoneticPr fontId="1" type="noConversion"/>
  </si>
  <si>
    <t>数组</t>
    <phoneticPr fontId="1" type="noConversion"/>
  </si>
  <si>
    <t>说明</t>
    <phoneticPr fontId="1" type="noConversion"/>
  </si>
  <si>
    <t>ADS地址</t>
    <phoneticPr fontId="1" type="noConversion"/>
  </si>
  <si>
    <t>夹钳低位置</t>
    <phoneticPr fontId="1" type="noConversion"/>
  </si>
  <si>
    <t>夹钳中</t>
    <phoneticPr fontId="1" type="noConversion"/>
  </si>
  <si>
    <t>夹钳高</t>
    <phoneticPr fontId="1" type="noConversion"/>
  </si>
  <si>
    <t>夹钳最大值</t>
    <phoneticPr fontId="1" type="noConversion"/>
  </si>
  <si>
    <t>夹钳半夹钳</t>
    <phoneticPr fontId="1" type="noConversion"/>
  </si>
  <si>
    <t>挤压折弯压钳高度</t>
    <phoneticPr fontId="1" type="noConversion"/>
  </si>
  <si>
    <t>最后一次折弯抬钳高度</t>
    <phoneticPr fontId="1" type="noConversion"/>
  </si>
  <si>
    <t>Hmi_rArray[100]</t>
    <phoneticPr fontId="1" type="noConversion"/>
  </si>
  <si>
    <t>后挡停止位-上挤压(仅自动</t>
    <phoneticPr fontId="1" type="noConversion"/>
  </si>
  <si>
    <t>后挡停止位-下挤压(仅自动</t>
    <phoneticPr fontId="1" type="noConversion"/>
  </si>
  <si>
    <t>后挡停止位-外向挤压(仅自动</t>
    <phoneticPr fontId="1" type="noConversion"/>
  </si>
  <si>
    <t>后挡停止位-开放式上挤压(仅自动</t>
    <phoneticPr fontId="1" type="noConversion"/>
  </si>
  <si>
    <t>后挡停止位-开放式下挤压(仅自动</t>
    <phoneticPr fontId="1" type="noConversion"/>
  </si>
  <si>
    <t>Hmi_rArray[110]</t>
    <phoneticPr fontId="1" type="noConversion"/>
  </si>
  <si>
    <t>ConfigData[38]</t>
  </si>
  <si>
    <t>ConfigData[39]</t>
  </si>
  <si>
    <t>ConfigData[40]</t>
  </si>
  <si>
    <t>ConfigData[41]</t>
  </si>
  <si>
    <t>ConfigData[42]</t>
  </si>
  <si>
    <t>ConfigData[43]</t>
  </si>
  <si>
    <t>ConfigData[44]</t>
  </si>
  <si>
    <t>ConfigData[45]</t>
  </si>
  <si>
    <t>ConfigData[46]</t>
  </si>
  <si>
    <t>ConfigData[47]</t>
  </si>
  <si>
    <t>ConfigData[48]</t>
  </si>
  <si>
    <t>ConfigData[49]</t>
  </si>
  <si>
    <t>ConfigData[50]</t>
  </si>
  <si>
    <t>ConfigData[51]</t>
  </si>
  <si>
    <t>ConfigData[52]</t>
  </si>
  <si>
    <t>ConfigData[53]</t>
  </si>
  <si>
    <t>ConfigData[54]</t>
  </si>
  <si>
    <t>ConfigData[55]</t>
  </si>
  <si>
    <t>ConfigData[56]</t>
  </si>
  <si>
    <t>ConfigData[57]</t>
  </si>
  <si>
    <t>ConfigData[58]</t>
  </si>
  <si>
    <t>ConfigData[59]</t>
  </si>
  <si>
    <t>ConfigData[60]</t>
  </si>
  <si>
    <t>ConfigData[61]</t>
  </si>
  <si>
    <t>ConfigData[62]</t>
  </si>
  <si>
    <t>ConfigData[63]</t>
  </si>
  <si>
    <t>ConfigData[64]</t>
  </si>
  <si>
    <t>ConfigData[65]</t>
  </si>
  <si>
    <t>ConfigData[66]</t>
  </si>
  <si>
    <t>ConfigData[67]</t>
  </si>
  <si>
    <t>ConfigData[68]</t>
  </si>
  <si>
    <t>ConfigData[69]</t>
  </si>
  <si>
    <t>ConfigData[70]</t>
  </si>
  <si>
    <t>ConfigData[71]</t>
  </si>
  <si>
    <t>ConfigData[72]</t>
  </si>
  <si>
    <t>ConfigData[73]</t>
  </si>
  <si>
    <t>ConfigData[74]</t>
  </si>
  <si>
    <t>ConfigData[75]</t>
  </si>
  <si>
    <t>ConfigData[76]</t>
  </si>
  <si>
    <t>ConfigData[77]</t>
  </si>
  <si>
    <t>ConfigData[78]</t>
  </si>
  <si>
    <t>ConfigData[79]</t>
  </si>
  <si>
    <t>ConfigData[80]</t>
  </si>
  <si>
    <t>ConfigData[81]</t>
  </si>
  <si>
    <t>ConfigData[82]</t>
  </si>
  <si>
    <t>Hmi_bArray[45]</t>
    <phoneticPr fontId="1" type="noConversion"/>
  </si>
  <si>
    <t>Hmi_rArray[50]</t>
    <phoneticPr fontId="1" type="noConversion"/>
  </si>
  <si>
    <t>Hmi_rArray[51]</t>
  </si>
  <si>
    <t>半自动工作号</t>
    <phoneticPr fontId="1" type="noConversion"/>
  </si>
  <si>
    <t>材料选择号</t>
    <phoneticPr fontId="1" type="noConversion"/>
  </si>
  <si>
    <t>前一次选择记录</t>
    <phoneticPr fontId="1" type="noConversion"/>
  </si>
  <si>
    <t>其它参数</t>
    <phoneticPr fontId="1" type="noConversion"/>
  </si>
  <si>
    <t>9991    [ClampHeight]</t>
    <phoneticPr fontId="1" type="noConversion"/>
  </si>
  <si>
    <t>9992    [BackgaugeApron]</t>
    <phoneticPr fontId="1" type="noConversion"/>
  </si>
  <si>
    <t>9990    [GlobalSwitch]</t>
    <phoneticPr fontId="1" type="noConversion"/>
  </si>
  <si>
    <t>9993    [PresetAngles]</t>
    <phoneticPr fontId="1" type="noConversion"/>
  </si>
  <si>
    <t>9994    [PresetAngles]</t>
    <phoneticPr fontId="1" type="noConversion"/>
  </si>
  <si>
    <t>9995    [MachineSetup]</t>
    <phoneticPr fontId="1" type="noConversion"/>
  </si>
  <si>
    <t>9996    [ManualOldSelect]</t>
    <phoneticPr fontId="1" type="noConversion"/>
  </si>
  <si>
    <t>9997    [OtherConfig]</t>
    <phoneticPr fontId="1" type="noConversion"/>
  </si>
  <si>
    <t>9999     ------------</t>
    <phoneticPr fontId="1" type="noConversion"/>
  </si>
  <si>
    <t>分隔符</t>
    <phoneticPr fontId="1" type="noConversion"/>
  </si>
  <si>
    <t>标题</t>
    <phoneticPr fontId="1" type="noConversion"/>
  </si>
  <si>
    <t>Hmi_rArray[56]</t>
    <phoneticPr fontId="1" type="noConversion"/>
  </si>
  <si>
    <t xml:space="preserve">手动 - 手动折弯角度 </t>
    <phoneticPr fontId="1" type="noConversion"/>
  </si>
  <si>
    <t>全局 - 桌板位置</t>
    <phoneticPr fontId="1" type="noConversion"/>
  </si>
  <si>
    <t>全局设定 - 模式切换</t>
    <phoneticPr fontId="1" type="noConversion"/>
  </si>
  <si>
    <t>分条 - 开始分条</t>
    <phoneticPr fontId="1" type="noConversion"/>
  </si>
  <si>
    <t>PUMP A LOAD VALVE(低压)</t>
    <phoneticPr fontId="1" type="noConversion"/>
  </si>
  <si>
    <t>PUMP A LOAD VALVE(高压)</t>
    <phoneticPr fontId="1" type="noConversion"/>
  </si>
  <si>
    <t>PUMP B LOAD VALVE(低压)</t>
    <phoneticPr fontId="1" type="noConversion"/>
  </si>
  <si>
    <t>PUMP B LOAD VALVE(高压)</t>
    <phoneticPr fontId="1" type="noConversion"/>
  </si>
  <si>
    <t>Hmi_bArray[23]</t>
    <phoneticPr fontId="1" type="noConversion"/>
  </si>
  <si>
    <t>全局 - 右侧状态灯 蓝 （激光挡指）</t>
    <phoneticPr fontId="1" type="noConversion"/>
  </si>
  <si>
    <t>全局 - 右侧状态灯 白（静音）</t>
    <phoneticPr fontId="1" type="noConversion"/>
  </si>
  <si>
    <t>全局 - 右侧状态灯 橙（压钳压力）</t>
    <phoneticPr fontId="1" type="noConversion"/>
  </si>
  <si>
    <t>全局 - 右侧状态灯 绿（操作员1）</t>
    <phoneticPr fontId="1" type="noConversion"/>
  </si>
  <si>
    <t>全局 - 右侧状态灯 绿（操作员2）</t>
  </si>
  <si>
    <t>全局 - 右侧状态灯 绿（操作员3）</t>
  </si>
  <si>
    <t>Hmi_iArray[21]</t>
    <phoneticPr fontId="1" type="noConversion"/>
  </si>
  <si>
    <t>全局 -  PLC报警信息</t>
    <phoneticPr fontId="1" type="noConversion"/>
  </si>
  <si>
    <t>AI6</t>
  </si>
  <si>
    <t>AI7</t>
  </si>
  <si>
    <t>AQ2</t>
  </si>
  <si>
    <t>AQ3</t>
  </si>
  <si>
    <t>Hmi_iSemiAuto[0]</t>
    <phoneticPr fontId="9" type="noConversion"/>
  </si>
  <si>
    <t>全局 - 上翻板-滑动位置</t>
    <phoneticPr fontId="1" type="noConversion"/>
  </si>
  <si>
    <t>全局 - 上翻板-折弯位置</t>
    <phoneticPr fontId="1" type="noConversion"/>
  </si>
  <si>
    <t>全局 - 下翻板-滑动位置</t>
    <phoneticPr fontId="1" type="noConversion"/>
  </si>
  <si>
    <t>全局 - 下翻板-折弯位置</t>
    <phoneticPr fontId="1" type="noConversion"/>
  </si>
  <si>
    <t>拉绳急停断电</t>
    <phoneticPr fontId="1" type="noConversion"/>
  </si>
  <si>
    <t>参数编号</t>
    <phoneticPr fontId="19" type="noConversion"/>
  </si>
  <si>
    <t>参数说明</t>
    <phoneticPr fontId="9" type="noConversion"/>
  </si>
  <si>
    <t>值</t>
    <phoneticPr fontId="9" type="noConversion"/>
  </si>
  <si>
    <t>备注</t>
    <phoneticPr fontId="9" type="noConversion"/>
  </si>
  <si>
    <t>1-20</t>
    <phoneticPr fontId="9" type="noConversion"/>
  </si>
  <si>
    <t>电动机功率</t>
    <phoneticPr fontId="9" type="noConversion"/>
  </si>
  <si>
    <t>1-22</t>
    <phoneticPr fontId="19" type="noConversion"/>
  </si>
  <si>
    <t>电机电压</t>
    <phoneticPr fontId="19" type="noConversion"/>
  </si>
  <si>
    <t>按铭牌设置</t>
    <phoneticPr fontId="19" type="noConversion"/>
  </si>
  <si>
    <t>1-23</t>
    <phoneticPr fontId="19" type="noConversion"/>
  </si>
  <si>
    <t>电动机频率</t>
    <phoneticPr fontId="19" type="noConversion"/>
  </si>
  <si>
    <t>1-24</t>
    <phoneticPr fontId="19" type="noConversion"/>
  </si>
  <si>
    <t>电机电流</t>
    <phoneticPr fontId="19" type="noConversion"/>
  </si>
  <si>
    <t>1-25</t>
    <phoneticPr fontId="19" type="noConversion"/>
  </si>
  <si>
    <t>电机额定速度</t>
    <phoneticPr fontId="19" type="noConversion"/>
  </si>
  <si>
    <t>1-26</t>
    <phoneticPr fontId="19" type="noConversion"/>
  </si>
  <si>
    <t>电动机持续额定转矩</t>
    <phoneticPr fontId="19" type="noConversion"/>
  </si>
  <si>
    <t>4-10</t>
    <phoneticPr fontId="19" type="noConversion"/>
  </si>
  <si>
    <t>电机速度方向</t>
    <phoneticPr fontId="19" type="noConversion"/>
  </si>
  <si>
    <t>2</t>
    <phoneticPr fontId="19" type="noConversion"/>
  </si>
  <si>
    <t>双方向</t>
    <phoneticPr fontId="19" type="noConversion"/>
  </si>
  <si>
    <t>5-00</t>
    <phoneticPr fontId="9" type="noConversion"/>
  </si>
  <si>
    <t>数字IO模式</t>
    <phoneticPr fontId="9" type="noConversion"/>
  </si>
  <si>
    <t>0</t>
    <phoneticPr fontId="9" type="noConversion"/>
  </si>
  <si>
    <r>
      <t>P</t>
    </r>
    <r>
      <rPr>
        <sz val="10"/>
        <rFont val="宋体"/>
        <family val="3"/>
        <charset val="134"/>
      </rPr>
      <t>NP/NPN输入模式选择</t>
    </r>
    <phoneticPr fontId="19" type="noConversion"/>
  </si>
  <si>
    <t>5-10</t>
    <phoneticPr fontId="9" type="noConversion"/>
  </si>
  <si>
    <t>端子18输入</t>
    <phoneticPr fontId="9" type="noConversion"/>
  </si>
  <si>
    <t>8</t>
    <phoneticPr fontId="9" type="noConversion"/>
  </si>
  <si>
    <t>5-11</t>
    <phoneticPr fontId="9" type="noConversion"/>
  </si>
  <si>
    <t>端子19输入</t>
    <phoneticPr fontId="9" type="noConversion"/>
  </si>
  <si>
    <t>10</t>
    <phoneticPr fontId="9" type="noConversion"/>
  </si>
  <si>
    <t>5-12</t>
    <phoneticPr fontId="19" type="noConversion"/>
  </si>
  <si>
    <t>端子27输入</t>
    <phoneticPr fontId="19" type="noConversion"/>
  </si>
  <si>
    <t>0</t>
    <phoneticPr fontId="19" type="noConversion"/>
  </si>
  <si>
    <t>3-41</t>
    <phoneticPr fontId="9" type="noConversion"/>
  </si>
  <si>
    <t>加速时间</t>
    <phoneticPr fontId="9" type="noConversion"/>
  </si>
  <si>
    <t>3-42</t>
    <phoneticPr fontId="9" type="noConversion"/>
  </si>
  <si>
    <t>减速时间</t>
    <phoneticPr fontId="9" type="noConversion"/>
  </si>
  <si>
    <t>2-10</t>
    <phoneticPr fontId="9" type="noConversion"/>
  </si>
  <si>
    <t>停止模式</t>
    <phoneticPr fontId="9" type="noConversion"/>
  </si>
  <si>
    <r>
      <t>1/</t>
    </r>
    <r>
      <rPr>
        <sz val="10"/>
        <rFont val="宋体"/>
        <family val="3"/>
        <charset val="134"/>
      </rPr>
      <t>0</t>
    </r>
    <phoneticPr fontId="9" type="noConversion"/>
  </si>
  <si>
    <t>5-40[1]</t>
    <phoneticPr fontId="9" type="noConversion"/>
  </si>
  <si>
    <t>继电器功能</t>
    <phoneticPr fontId="9" type="noConversion"/>
  </si>
  <si>
    <t>9</t>
    <phoneticPr fontId="9" type="noConversion"/>
  </si>
  <si>
    <t>报警</t>
    <phoneticPr fontId="9" type="noConversion"/>
  </si>
  <si>
    <t>3-15</t>
    <phoneticPr fontId="19" type="noConversion"/>
  </si>
  <si>
    <t>参考值来源1</t>
    <phoneticPr fontId="19" type="noConversion"/>
  </si>
  <si>
    <t>1</t>
    <phoneticPr fontId="19" type="noConversion"/>
  </si>
  <si>
    <t>模拟输入端53</t>
    <phoneticPr fontId="19" type="noConversion"/>
  </si>
  <si>
    <t>监控参数</t>
    <phoneticPr fontId="19" type="noConversion"/>
  </si>
  <si>
    <t>★无功能</t>
    <phoneticPr fontId="19" type="noConversion"/>
  </si>
  <si>
    <t>外部参考值</t>
    <phoneticPr fontId="9" type="noConversion"/>
  </si>
  <si>
    <t>查看总参考值</t>
    <phoneticPr fontId="9" type="noConversion"/>
  </si>
  <si>
    <r>
      <t>5</t>
    </r>
    <r>
      <rPr>
        <sz val="10"/>
        <rFont val="宋体"/>
        <family val="3"/>
        <charset val="134"/>
      </rPr>
      <t>3</t>
    </r>
    <r>
      <rPr>
        <sz val="10"/>
        <rFont val="宋体"/>
        <family val="3"/>
        <charset val="134"/>
      </rPr>
      <t>端切换设置</t>
    </r>
    <phoneticPr fontId="9" type="noConversion"/>
  </si>
  <si>
    <t>电流模式</t>
    <phoneticPr fontId="9" type="noConversion"/>
  </si>
  <si>
    <t>53端模拟量输入值</t>
    <phoneticPr fontId="9" type="noConversion"/>
  </si>
  <si>
    <t>输入实际值</t>
    <phoneticPr fontId="9" type="noConversion"/>
  </si>
  <si>
    <t>16-50</t>
    <phoneticPr fontId="9" type="noConversion"/>
  </si>
  <si>
    <t>16-61</t>
    <phoneticPr fontId="9" type="noConversion"/>
  </si>
  <si>
    <t>16-62</t>
    <phoneticPr fontId="9" type="noConversion"/>
  </si>
  <si>
    <t>1</t>
    <phoneticPr fontId="9" type="noConversion"/>
  </si>
  <si>
    <t>★反向（默认）</t>
    <phoneticPr fontId="9" type="noConversion"/>
  </si>
  <si>
    <t>★电机启动（默认）</t>
    <phoneticPr fontId="9" type="noConversion"/>
  </si>
  <si>
    <t>1电阻制动器。0，自由</t>
    <phoneticPr fontId="9" type="noConversion"/>
  </si>
  <si>
    <t>3</t>
    <phoneticPr fontId="19" type="noConversion"/>
  </si>
  <si>
    <t>较大，减速没关系</t>
    <phoneticPr fontId="9" type="noConversion"/>
  </si>
  <si>
    <t>2-11</t>
    <phoneticPr fontId="9" type="noConversion"/>
  </si>
  <si>
    <t>40欧</t>
    <phoneticPr fontId="9" type="noConversion"/>
  </si>
  <si>
    <t>制动电阻</t>
    <phoneticPr fontId="9" type="noConversion"/>
  </si>
  <si>
    <t>制动电阻阻值</t>
    <phoneticPr fontId="9" type="noConversion"/>
  </si>
  <si>
    <t>3-03</t>
    <phoneticPr fontId="9" type="noConversion"/>
  </si>
  <si>
    <t>4-19</t>
    <phoneticPr fontId="9" type="noConversion"/>
  </si>
  <si>
    <t>4-14</t>
    <phoneticPr fontId="9" type="noConversion"/>
  </si>
  <si>
    <t>6-15</t>
    <phoneticPr fontId="9" type="noConversion"/>
  </si>
  <si>
    <t>5-40</t>
    <phoneticPr fontId="9" type="noConversion"/>
  </si>
  <si>
    <t>5</t>
    <phoneticPr fontId="9" type="noConversion"/>
  </si>
  <si>
    <t>运行</t>
    <phoneticPr fontId="9" type="noConversion"/>
  </si>
  <si>
    <t>全局 - 右侧状态灯 绿（操作员4）</t>
    <phoneticPr fontId="1" type="noConversion"/>
  </si>
  <si>
    <t>全局 - 轴耦合状态(M,T1,T2,T3)</t>
    <phoneticPr fontId="1" type="noConversion"/>
  </si>
  <si>
    <t>分条 - 边角料在先1/后0</t>
    <phoneticPr fontId="1" type="noConversion"/>
  </si>
  <si>
    <t>余料</t>
    <phoneticPr fontId="1" type="noConversion"/>
  </si>
  <si>
    <t>整板</t>
    <phoneticPr fontId="1" type="noConversion"/>
  </si>
  <si>
    <t>后挡位</t>
    <phoneticPr fontId="1" type="noConversion"/>
  </si>
  <si>
    <t>出钳口</t>
    <phoneticPr fontId="1" type="noConversion"/>
  </si>
  <si>
    <t>动作</t>
    <phoneticPr fontId="1" type="noConversion"/>
  </si>
  <si>
    <t>向下折150（30度）</t>
    <phoneticPr fontId="1" type="noConversion"/>
  </si>
  <si>
    <t>人工翻板</t>
    <phoneticPr fontId="1" type="noConversion"/>
  </si>
  <si>
    <t>向下折90（90度</t>
    <phoneticPr fontId="1" type="noConversion"/>
  </si>
  <si>
    <t>向上折150（30度）</t>
    <phoneticPr fontId="1" type="noConversion"/>
  </si>
  <si>
    <t>向上折90（90度</t>
    <phoneticPr fontId="1" type="noConversion"/>
  </si>
  <si>
    <t>压边20（下挤压</t>
    <phoneticPr fontId="1" type="noConversion"/>
  </si>
  <si>
    <t>压边20（上挤压</t>
    <phoneticPr fontId="1" type="noConversion"/>
  </si>
  <si>
    <t>手动 - 分条机归原位</t>
    <phoneticPr fontId="1" type="noConversion"/>
  </si>
  <si>
    <t>补偿角度-下0-10</t>
    <phoneticPr fontId="1" type="noConversion"/>
  </si>
  <si>
    <t>补偿角度-下141-150</t>
    <phoneticPr fontId="1" type="noConversion"/>
  </si>
  <si>
    <t>补偿角度-上0-10</t>
    <phoneticPr fontId="1" type="noConversion"/>
  </si>
  <si>
    <t>补偿角度-上141-150</t>
    <phoneticPr fontId="1" type="noConversion"/>
  </si>
  <si>
    <t>1秒</t>
    <phoneticPr fontId="9" type="noConversion"/>
  </si>
  <si>
    <t>0.2秒</t>
    <phoneticPr fontId="9" type="noConversion"/>
  </si>
  <si>
    <t>最大参考值</t>
    <phoneticPr fontId="9" type="noConversion"/>
  </si>
  <si>
    <t>70HZ</t>
    <phoneticPr fontId="9" type="noConversion"/>
  </si>
  <si>
    <t>电动机速度上限</t>
    <phoneticPr fontId="9" type="noConversion"/>
  </si>
  <si>
    <t>最大输出频率</t>
    <phoneticPr fontId="9" type="noConversion"/>
  </si>
  <si>
    <t>53端参考值高</t>
    <phoneticPr fontId="9" type="noConversion"/>
  </si>
  <si>
    <t>70</t>
    <phoneticPr fontId="9" type="noConversion"/>
  </si>
  <si>
    <t>超频设置值</t>
    <phoneticPr fontId="9" type="noConversion"/>
  </si>
  <si>
    <t>运行状态输出，第一个继电器</t>
    <phoneticPr fontId="9" type="noConversion"/>
  </si>
  <si>
    <t>半自动 - 桌板开关</t>
    <phoneticPr fontId="1" type="noConversion"/>
  </si>
  <si>
    <t>全局 - 轴就绪状态</t>
    <phoneticPr fontId="1" type="noConversion"/>
  </si>
  <si>
    <t>上滑板滑动信号</t>
    <phoneticPr fontId="1" type="noConversion"/>
  </si>
  <si>
    <t>上滑板折弯原点</t>
    <phoneticPr fontId="1" type="noConversion"/>
  </si>
  <si>
    <t>下滑板滑动信号</t>
    <phoneticPr fontId="1" type="noConversion"/>
  </si>
  <si>
    <t>下滑板折弯原点</t>
    <phoneticPr fontId="1" type="noConversion"/>
  </si>
  <si>
    <t>光幕垂直-长</t>
    <phoneticPr fontId="1" type="noConversion"/>
  </si>
  <si>
    <t>光幕垂直-短</t>
    <phoneticPr fontId="1" type="noConversion"/>
  </si>
  <si>
    <t>光幕水平</t>
    <phoneticPr fontId="1" type="noConversion"/>
  </si>
  <si>
    <t>激光</t>
    <phoneticPr fontId="1" type="noConversion"/>
  </si>
  <si>
    <t>半自动 - 装载材料</t>
    <phoneticPr fontId="1" type="noConversion"/>
  </si>
  <si>
    <t>Hmi_bArray[60]</t>
    <phoneticPr fontId="1" type="noConversion"/>
  </si>
  <si>
    <t>分条 - 装载材料</t>
    <phoneticPr fontId="1" type="noConversion"/>
  </si>
  <si>
    <t>分条 - 分条机归原位</t>
    <phoneticPr fontId="1" type="noConversion"/>
  </si>
  <si>
    <t>手动 - 整机初始化</t>
    <phoneticPr fontId="1" type="noConversion"/>
  </si>
  <si>
    <t>半自动 -  s1-重新抓取</t>
    <phoneticPr fontId="1" type="noConversion"/>
  </si>
  <si>
    <t>半自动 -  s2-重新抓取</t>
    <phoneticPr fontId="1" type="noConversion"/>
  </si>
  <si>
    <t>全局 - 钳口移动(前</t>
    <phoneticPr fontId="1" type="noConversion"/>
  </si>
  <si>
    <t>全局 - 钳口移动(中</t>
    <phoneticPr fontId="1" type="noConversion"/>
  </si>
  <si>
    <t>全局 - 钳口移动(后</t>
    <phoneticPr fontId="1" type="noConversion"/>
  </si>
  <si>
    <t>Hmi_bArray[101]</t>
  </si>
  <si>
    <t>Hmi_bArray[102]</t>
  </si>
  <si>
    <t>全局设定 - 锥度设定</t>
    <phoneticPr fontId="1" type="noConversion"/>
  </si>
  <si>
    <t>锥度</t>
    <phoneticPr fontId="1" type="noConversion"/>
  </si>
  <si>
    <t>锥度-长度</t>
    <phoneticPr fontId="1" type="noConversion"/>
  </si>
  <si>
    <t>全局 - 油泵液位低报警</t>
    <phoneticPr fontId="1" type="noConversion"/>
  </si>
  <si>
    <t>Hmi_bArray[103]</t>
  </si>
  <si>
    <t>Hmi_bArray[104]</t>
  </si>
  <si>
    <t>Hmi_bArray[105]</t>
  </si>
  <si>
    <t>Hmi_bArray[106]</t>
  </si>
  <si>
    <t>Hmi_bArray[107]</t>
  </si>
  <si>
    <t>Hmi_bArray[108]</t>
  </si>
  <si>
    <t>Hmi_bArray[109]</t>
  </si>
  <si>
    <t>全局 - 当前夹钳压力</t>
    <phoneticPr fontId="1" type="noConversion"/>
  </si>
  <si>
    <t>全局 - 当前油泵油温度</t>
    <phoneticPr fontId="1" type="noConversion"/>
  </si>
  <si>
    <t>全局 - 当前油泵A转速</t>
    <phoneticPr fontId="1" type="noConversion"/>
  </si>
  <si>
    <t>全局 - 当前油泵B转速</t>
    <phoneticPr fontId="1" type="noConversion"/>
  </si>
  <si>
    <t>近端</t>
    <phoneticPr fontId="1" type="noConversion"/>
  </si>
  <si>
    <t>长度</t>
    <phoneticPr fontId="1" type="noConversion"/>
  </si>
  <si>
    <t>远端</t>
    <phoneticPr fontId="1" type="noConversion"/>
  </si>
  <si>
    <t>斜率</t>
    <phoneticPr fontId="1" type="noConversion"/>
  </si>
  <si>
    <t>T1</t>
    <phoneticPr fontId="1" type="noConversion"/>
  </si>
  <si>
    <t>T2</t>
  </si>
  <si>
    <t>总长</t>
    <phoneticPr fontId="1" type="noConversion"/>
  </si>
  <si>
    <t>1边</t>
    <phoneticPr fontId="1" type="noConversion"/>
  </si>
  <si>
    <t>2边</t>
    <phoneticPr fontId="1" type="noConversion"/>
  </si>
  <si>
    <t>3边</t>
  </si>
  <si>
    <t>4边</t>
  </si>
  <si>
    <t>5边</t>
  </si>
  <si>
    <t>分条</t>
    <phoneticPr fontId="1" type="noConversion"/>
  </si>
  <si>
    <t>近端剩余</t>
    <phoneticPr fontId="1" type="noConversion"/>
  </si>
  <si>
    <t>远端剩余</t>
    <phoneticPr fontId="1" type="noConversion"/>
  </si>
  <si>
    <t>手动强制-上翻板归零</t>
    <phoneticPr fontId="1" type="noConversion"/>
  </si>
  <si>
    <t>手动强制-上翻板折弯</t>
    <phoneticPr fontId="1" type="noConversion"/>
  </si>
  <si>
    <t>手动强制-上翻板伸出</t>
    <phoneticPr fontId="1" type="noConversion"/>
  </si>
  <si>
    <t>手动强制-上翻板缩回</t>
    <phoneticPr fontId="1" type="noConversion"/>
  </si>
  <si>
    <t>手动强制-下翻板折弯</t>
    <phoneticPr fontId="1" type="noConversion"/>
  </si>
  <si>
    <t>手动强制-下翻板归零</t>
    <phoneticPr fontId="1" type="noConversion"/>
  </si>
  <si>
    <t>手动强制-下翻板伸出</t>
    <phoneticPr fontId="1" type="noConversion"/>
  </si>
  <si>
    <t>手动强制-下翻板缩回</t>
    <phoneticPr fontId="1" type="noConversion"/>
  </si>
  <si>
    <t>脚踏1 -钳口夹紧</t>
    <phoneticPr fontId="1" type="noConversion"/>
  </si>
  <si>
    <t>上翻板滑动前移</t>
    <phoneticPr fontId="1" type="noConversion"/>
  </si>
  <si>
    <t>上翻板滑动后移</t>
    <phoneticPr fontId="1" type="noConversion"/>
  </si>
  <si>
    <t>下翻板滑动前移</t>
    <phoneticPr fontId="1" type="noConversion"/>
  </si>
  <si>
    <t>下翻板滑动后移</t>
    <phoneticPr fontId="1" type="noConversion"/>
  </si>
  <si>
    <t>is色下</t>
    <phoneticPr fontId="1" type="noConversion"/>
  </si>
  <si>
    <t>is逆序</t>
    <phoneticPr fontId="1" type="noConversion"/>
  </si>
  <si>
    <t>后挡位置</t>
    <phoneticPr fontId="1" type="noConversion"/>
  </si>
  <si>
    <t>坐标序号</t>
    <phoneticPr fontId="1" type="noConversion"/>
  </si>
  <si>
    <t>折弯序号</t>
    <phoneticPr fontId="1" type="noConversion"/>
  </si>
  <si>
    <t>折弯角度</t>
    <phoneticPr fontId="1" type="noConversion"/>
  </si>
  <si>
    <t>挤压序号</t>
    <phoneticPr fontId="1" type="noConversion"/>
  </si>
  <si>
    <t>操作提示</t>
    <phoneticPr fontId="1" type="noConversion"/>
  </si>
  <si>
    <t>行动类型</t>
    <phoneticPr fontId="1" type="noConversion"/>
  </si>
  <si>
    <t>F</t>
    <phoneticPr fontId="1" type="noConversion"/>
  </si>
  <si>
    <t>T</t>
    <phoneticPr fontId="1" type="noConversion"/>
  </si>
  <si>
    <t>内外选择</t>
    <phoneticPr fontId="1" type="noConversion"/>
  </si>
  <si>
    <t>pxDraw</t>
    <phoneticPr fontId="1" type="noConversion"/>
  </si>
  <si>
    <t>590-575</t>
    <phoneticPr fontId="1" type="noConversion"/>
  </si>
  <si>
    <t>575-550</t>
    <phoneticPr fontId="1" type="noConversion"/>
  </si>
  <si>
    <t>550-535</t>
    <phoneticPr fontId="1" type="noConversion"/>
  </si>
  <si>
    <t>535-510</t>
    <phoneticPr fontId="1" type="noConversion"/>
  </si>
  <si>
    <t>510-420</t>
    <phoneticPr fontId="1" type="noConversion"/>
  </si>
  <si>
    <t>420-367</t>
    <phoneticPr fontId="1" type="noConversion"/>
  </si>
  <si>
    <t>367-250</t>
    <phoneticPr fontId="1" type="noConversion"/>
  </si>
  <si>
    <t>250-133</t>
    <phoneticPr fontId="1" type="noConversion"/>
  </si>
  <si>
    <t>133-80</t>
    <phoneticPr fontId="1" type="noConversion"/>
  </si>
  <si>
    <t>80--10</t>
    <phoneticPr fontId="1" type="noConversion"/>
  </si>
  <si>
    <t>Mx后挡块原位</t>
    <phoneticPr fontId="1" type="noConversion"/>
  </si>
  <si>
    <t>自动 - 连续/步进</t>
    <phoneticPr fontId="1" type="noConversion"/>
  </si>
  <si>
    <t>自动 - 分条开关</t>
    <phoneticPr fontId="1" type="noConversion"/>
  </si>
  <si>
    <t>自动 - 重置计数</t>
    <phoneticPr fontId="1" type="noConversion"/>
  </si>
  <si>
    <t>自动 - 桌板开关</t>
    <phoneticPr fontId="1" type="noConversion"/>
  </si>
  <si>
    <t>自动 - 装载材料</t>
    <phoneticPr fontId="1" type="noConversion"/>
  </si>
  <si>
    <t xml:space="preserve">自动 - </t>
    <phoneticPr fontId="1" type="noConversion"/>
  </si>
  <si>
    <t>自动 - 计数</t>
    <phoneticPr fontId="1" type="noConversion"/>
  </si>
  <si>
    <t>自动 - 步序（挤压不加1）</t>
    <phoneticPr fontId="1" type="noConversion"/>
  </si>
  <si>
    <t>伺服解耦并归零</t>
    <phoneticPr fontId="1" type="noConversion"/>
  </si>
  <si>
    <t>上翻板回弹量</t>
    <phoneticPr fontId="1" type="noConversion"/>
  </si>
  <si>
    <t>下翻板回弹量</t>
    <phoneticPr fontId="1" type="noConversion"/>
  </si>
  <si>
    <t>ConfigData[83]</t>
  </si>
  <si>
    <t>ConfigData[84]</t>
  </si>
  <si>
    <t>ConfigData[85]</t>
  </si>
  <si>
    <t>ConfigData[86]</t>
  </si>
  <si>
    <t>Hmi_bArray[110]</t>
  </si>
  <si>
    <t>Hmi_bArray[111]</t>
  </si>
  <si>
    <t>Hmi_bArray[112]</t>
  </si>
  <si>
    <t>Hmi_bArray[113]</t>
  </si>
  <si>
    <t>Hmi_bArray[114]</t>
  </si>
  <si>
    <t>Hmi_bArray[115]</t>
  </si>
  <si>
    <t>Hmi_bArray[116]</t>
  </si>
  <si>
    <t>Hmi_bArray[117]</t>
  </si>
  <si>
    <t>Hmi_bArray[118]</t>
  </si>
  <si>
    <t>Hmi_bArray[119]</t>
  </si>
  <si>
    <t>伺服点动-T1   Jog+</t>
    <phoneticPr fontId="1" type="noConversion"/>
  </si>
  <si>
    <t>伺服点动-T2   Jog+</t>
    <phoneticPr fontId="1" type="noConversion"/>
  </si>
  <si>
    <t>伺服点动-T3   Jog+</t>
    <phoneticPr fontId="1" type="noConversion"/>
  </si>
  <si>
    <t>伺服点动-T1   Jog-</t>
    <phoneticPr fontId="1" type="noConversion"/>
  </si>
  <si>
    <t>伺服点动-T2   Jog-</t>
    <phoneticPr fontId="1" type="noConversion"/>
  </si>
  <si>
    <t>伺服点动-T3   Jog-</t>
    <phoneticPr fontId="1" type="noConversion"/>
  </si>
  <si>
    <t>Hmi_bArray[120]</t>
  </si>
  <si>
    <t>Hmi_bArray[121]</t>
  </si>
  <si>
    <t>伺服点动-Table   Jog+</t>
    <phoneticPr fontId="1" type="noConversion"/>
  </si>
  <si>
    <t>伺服点动-Table   Jog-</t>
    <phoneticPr fontId="1" type="noConversion"/>
  </si>
  <si>
    <t>Hmi_rArray[35]</t>
    <phoneticPr fontId="1" type="noConversion"/>
  </si>
  <si>
    <t>全局设定 - 后挡电机解耦归零</t>
    <phoneticPr fontId="1" type="noConversion"/>
  </si>
  <si>
    <t>全局设定 - 激光挡指禁用</t>
    <phoneticPr fontId="1" type="noConversion"/>
  </si>
  <si>
    <t>BOTTOM APRON SLIDE TRANSDUCER2</t>
    <phoneticPr fontId="1" type="noConversion"/>
  </si>
  <si>
    <t>下翻板滑动-位移传感器2</t>
    <phoneticPr fontId="1" type="noConversion"/>
  </si>
  <si>
    <t>泵A卸荷-轻型</t>
    <phoneticPr fontId="1" type="noConversion"/>
  </si>
  <si>
    <t>泵A卸荷-重型</t>
    <phoneticPr fontId="1" type="noConversion"/>
  </si>
  <si>
    <t>泵B卸荷-轻型</t>
    <phoneticPr fontId="1" type="noConversion"/>
  </si>
  <si>
    <t>泵B卸荷-重型</t>
    <phoneticPr fontId="1" type="noConversion"/>
  </si>
  <si>
    <t>板材检测1</t>
    <phoneticPr fontId="1" type="noConversion"/>
  </si>
  <si>
    <t>板材检测2</t>
    <phoneticPr fontId="1" type="noConversion"/>
  </si>
  <si>
    <t>操作台急停</t>
    <phoneticPr fontId="1" type="noConversion"/>
  </si>
  <si>
    <t>油泵变频A启动</t>
    <phoneticPr fontId="1" type="noConversion"/>
  </si>
  <si>
    <t>油泵变频B启动</t>
    <phoneticPr fontId="1" type="noConversion"/>
  </si>
  <si>
    <t>变频无报警</t>
    <phoneticPr fontId="1" type="noConversion"/>
  </si>
  <si>
    <t>油泵液位低</t>
  </si>
  <si>
    <t>拉刀变频启动</t>
    <phoneticPr fontId="1" type="noConversion"/>
  </si>
  <si>
    <t>备用</t>
  </si>
  <si>
    <t>备用</t>
    <phoneticPr fontId="1" type="noConversion"/>
  </si>
  <si>
    <t>油泵B正转</t>
  </si>
  <si>
    <t>拉刀正转</t>
    <phoneticPr fontId="1" type="noConversion"/>
  </si>
  <si>
    <t>拉刀反转</t>
    <phoneticPr fontId="1" type="noConversion"/>
  </si>
  <si>
    <t>拉刀高低速</t>
    <phoneticPr fontId="1" type="noConversion"/>
  </si>
  <si>
    <t>上料吸盘1</t>
    <phoneticPr fontId="1" type="noConversion"/>
  </si>
  <si>
    <t>上料吸盘2</t>
    <phoneticPr fontId="1" type="noConversion"/>
  </si>
  <si>
    <t>灯条(红色)</t>
    <phoneticPr fontId="1" type="noConversion"/>
  </si>
  <si>
    <t>灯条(黄色)</t>
    <phoneticPr fontId="1" type="noConversion"/>
  </si>
  <si>
    <t>灯条(绿色)</t>
    <phoneticPr fontId="1" type="noConversion"/>
  </si>
  <si>
    <t>AI8</t>
  </si>
  <si>
    <t>油箱温度</t>
    <phoneticPr fontId="1" type="noConversion"/>
  </si>
  <si>
    <t>AI9</t>
  </si>
  <si>
    <t>AI10</t>
  </si>
  <si>
    <t>AI11</t>
  </si>
  <si>
    <t>1st EL3024</t>
    <phoneticPr fontId="1" type="noConversion"/>
  </si>
  <si>
    <t>全局设定 - 启用进料机构</t>
    <phoneticPr fontId="1" type="noConversion"/>
  </si>
  <si>
    <t>Hmi_iFeedAuto[1]</t>
  </si>
  <si>
    <t>Hmi_iFeedAuto[2]</t>
  </si>
  <si>
    <t>Hmi_iFeedAuto[3]</t>
  </si>
  <si>
    <t>Hmi_iFeedAuto[4]</t>
  </si>
  <si>
    <t>Hmi_iFeedAuto[5]</t>
  </si>
  <si>
    <t>Hmi_iFeedAuto[6]</t>
  </si>
  <si>
    <t>Hmi_iFeedAuto[7]</t>
  </si>
  <si>
    <t>Hmi_iFeedAuto[8]</t>
  </si>
  <si>
    <t>Hmi_iFeedAuto[9]</t>
  </si>
  <si>
    <t>Hmi_iFeedAuto[10]</t>
  </si>
  <si>
    <t>Hmi_iFeedAuto[11]</t>
  </si>
  <si>
    <t>Hmi_iFeedAuto[12]</t>
  </si>
  <si>
    <t>Hmi_iFeedAuto[13]</t>
  </si>
  <si>
    <t>Hmi_iFeedAuto[14]</t>
  </si>
  <si>
    <t>Hmi_iFeedAuto[15]</t>
  </si>
  <si>
    <t>Hmi_iFeedAuto[16]</t>
  </si>
  <si>
    <t>Hmi_iFeedAuto[17]</t>
  </si>
  <si>
    <t>Hmi_iFeedAuto[18]</t>
  </si>
  <si>
    <t>Hmi_iFeedAuto[19]</t>
  </si>
  <si>
    <t>半自动 -  s1-长度</t>
    <phoneticPr fontId="1" type="noConversion"/>
  </si>
  <si>
    <t>半自动 -  s1-宽度</t>
    <phoneticPr fontId="1" type="noConversion"/>
  </si>
  <si>
    <t>半自动 -  s1-厚度</t>
    <phoneticPr fontId="1" type="noConversion"/>
  </si>
  <si>
    <t>半自动 -  s1-数量</t>
    <phoneticPr fontId="1" type="noConversion"/>
  </si>
  <si>
    <t>半自动 -  s1-组数</t>
    <phoneticPr fontId="1" type="noConversion"/>
  </si>
  <si>
    <t>半自动 -  s1-总数</t>
    <phoneticPr fontId="1" type="noConversion"/>
  </si>
  <si>
    <t>半自动 -  s1-</t>
    <phoneticPr fontId="1" type="noConversion"/>
  </si>
  <si>
    <t>半自动 -  s1-定位位置</t>
    <phoneticPr fontId="1" type="noConversion"/>
  </si>
  <si>
    <t>组数=JOBID</t>
    <phoneticPr fontId="1" type="noConversion"/>
  </si>
  <si>
    <t>Hmi_bArray[122]</t>
  </si>
  <si>
    <t>Hmi_bArray[123]</t>
  </si>
  <si>
    <t>伺服点动-Feed    Jog-</t>
    <phoneticPr fontId="1" type="noConversion"/>
  </si>
  <si>
    <t>伺服点动-Feed    Jog+</t>
    <phoneticPr fontId="1" type="noConversion"/>
  </si>
  <si>
    <t>手动 - 吸盘组1吸板</t>
    <phoneticPr fontId="1" type="noConversion"/>
  </si>
  <si>
    <t>手动 - 吸盘组2吸板</t>
    <phoneticPr fontId="1" type="noConversion"/>
  </si>
  <si>
    <t>*)</t>
  </si>
  <si>
    <t>AT %I*</t>
  </si>
  <si>
    <t>:BOOL;</t>
  </si>
  <si>
    <t>In_sigSlitSlw0</t>
  </si>
  <si>
    <t>In_sigSlitLmt1</t>
  </si>
  <si>
    <t>In_sigSlitSlw1</t>
  </si>
  <si>
    <t>In_sigTopApron_FoldHome</t>
  </si>
  <si>
    <t>In_sigTopApron_SlideFWD</t>
  </si>
  <si>
    <t>In_sigBtmApron_SlideFWD</t>
  </si>
  <si>
    <t>(*拉刀原点停止接近开关 *)</t>
  </si>
  <si>
    <t>(*拉刀原点慢速接近开关*)</t>
  </si>
  <si>
    <t>(*拉刀前进慢速接近开关*)</t>
  </si>
  <si>
    <t>(*拉刀前进停止接近开关*)</t>
  </si>
  <si>
    <t>(*上翻板折弯原点接近开关*)</t>
  </si>
  <si>
    <t>(*上翻板滑动前进接近开关*)</t>
  </si>
  <si>
    <t>(*下翻板折弯原点接近开关*)</t>
  </si>
  <si>
    <t>(*下翻板滑动前进接近开关*)</t>
  </si>
  <si>
    <t>(*1st    EL1008  *)</t>
  </si>
  <si>
    <t>In_pedal1_UnClamp</t>
  </si>
  <si>
    <t>In_pedal1_Clamp</t>
  </si>
  <si>
    <t>In_pedal1_Slitter</t>
  </si>
  <si>
    <t>In_pedal1_SlitterBack</t>
  </si>
  <si>
    <t>In_pedal1_Fold</t>
  </si>
  <si>
    <t>In_pedal1_Gripper</t>
  </si>
  <si>
    <t>In_swOperator</t>
  </si>
  <si>
    <t>(*操作员开/关*)</t>
  </si>
  <si>
    <t>In_btnReset</t>
  </si>
  <si>
    <t>(*复位*)</t>
  </si>
  <si>
    <t>(*2nd    EL1008  *)</t>
  </si>
  <si>
    <t>In_bak10</t>
  </si>
  <si>
    <t>In_bak11</t>
  </si>
  <si>
    <t>In_bak12</t>
  </si>
  <si>
    <t>In_bak13</t>
  </si>
  <si>
    <t>In_bak14</t>
  </si>
  <si>
    <t>In_bak15</t>
  </si>
  <si>
    <t>In_bak16</t>
  </si>
  <si>
    <t>In_bak17</t>
  </si>
  <si>
    <t>(*3rd    EL1008  *)</t>
  </si>
  <si>
    <t>(*4th    EL1008  *)</t>
  </si>
  <si>
    <t>In_sigGaugingMid</t>
  </si>
  <si>
    <t>In_sigGaugingRear</t>
  </si>
  <si>
    <t>(*5th   EL1008  *)</t>
  </si>
  <si>
    <t>In_bak40</t>
  </si>
  <si>
    <t>In_bak41</t>
  </si>
  <si>
    <t>In_bak42</t>
  </si>
  <si>
    <t>In_bak43</t>
  </si>
  <si>
    <t>In_bak44</t>
  </si>
  <si>
    <t>In_bak45</t>
  </si>
  <si>
    <t>In_bak46</t>
  </si>
  <si>
    <t>In_bak47</t>
  </si>
  <si>
    <t>(*6th    EL1008  *)</t>
  </si>
  <si>
    <t>In_swLC_Enable</t>
  </si>
  <si>
    <t>In_sigLaserFinger</t>
  </si>
  <si>
    <t>In_sigLC_VShort</t>
  </si>
  <si>
    <t>In_sigLC_VLong</t>
  </si>
  <si>
    <t>In_sigLC_H</t>
  </si>
  <si>
    <t>In_EMG_RopeStop</t>
  </si>
  <si>
    <t>In_sigPumpJam</t>
  </si>
  <si>
    <t>In_sigLubeJam</t>
  </si>
  <si>
    <t>(*7th    EL1008  *)</t>
  </si>
  <si>
    <t>In_EMG_MainCabinet</t>
  </si>
  <si>
    <t>In_EMG_HandleCabinet</t>
  </si>
  <si>
    <t>In_PowerON</t>
  </si>
  <si>
    <t>In_VltA_Running</t>
  </si>
  <si>
    <t>In_VltB_Running</t>
  </si>
  <si>
    <t>In_Vlt_Alarm</t>
  </si>
  <si>
    <t>In_PumpLow_Alarm</t>
  </si>
  <si>
    <t>In_bak67</t>
  </si>
  <si>
    <t>(*激光光幕校准开/关 *)</t>
  </si>
  <si>
    <t>(*激光传感器*)</t>
  </si>
  <si>
    <t>(*垂直光幕（短）*)</t>
  </si>
  <si>
    <t>(*垂直光幕（长）*)</t>
  </si>
  <si>
    <t>(*水平光幕*)</t>
  </si>
  <si>
    <t>(*拉绳限位*)</t>
  </si>
  <si>
    <t>(*油泵堵塞报警*)</t>
  </si>
  <si>
    <t>(*润滑堵塞报警*)</t>
  </si>
  <si>
    <t>(*操作台急停*)</t>
  </si>
  <si>
    <t>(*主控柜急停*)</t>
  </si>
  <si>
    <t>(*电源启动*)</t>
  </si>
  <si>
    <t>(*油泵变频A启动*)</t>
  </si>
  <si>
    <t>(*油泵变频B启动*)</t>
  </si>
  <si>
    <t>(*变频无报警*)</t>
  </si>
  <si>
    <t>(*油泵液位低*)</t>
  </si>
  <si>
    <t>(*拉刀变频启动*)</t>
  </si>
  <si>
    <t>(*钳口静音接近开关 *)</t>
  </si>
  <si>
    <t>(*板厚接近开关1*)</t>
  </si>
  <si>
    <t>(*板厚接近开关2*)</t>
  </si>
  <si>
    <t>(*板厚接近开关3*)</t>
  </si>
  <si>
    <t>(*接近开关备用2*)</t>
  </si>
  <si>
    <t>(*板材检测2*)</t>
  </si>
  <si>
    <t>(*脚踏1 -钳口放松*)</t>
  </si>
  <si>
    <t>(*脚踏1 -钳口夹紧*)</t>
  </si>
  <si>
    <t>(*脚踏1 -拉刀*)</t>
  </si>
  <si>
    <t>(*脚踏1 -拉刀返回*)</t>
  </si>
  <si>
    <t>(*脚踏1 -折弯*)</t>
  </si>
  <si>
    <t>(*脚踏1 -后定位夹钳*)</t>
  </si>
  <si>
    <t>Out_ApronTop_SlideFWD</t>
  </si>
  <si>
    <t>AT %Q*</t>
  </si>
  <si>
    <t>(*板材检测1*)</t>
    <phoneticPr fontId="1" type="noConversion"/>
  </si>
  <si>
    <t>In_sigGaugingFrnt</t>
    <phoneticPr fontId="1" type="noConversion"/>
  </si>
  <si>
    <t>In_sigBoardPresent</t>
    <phoneticPr fontId="1" type="noConversion"/>
  </si>
  <si>
    <t>(*有板检测*)</t>
    <phoneticPr fontId="1" type="noConversion"/>
  </si>
  <si>
    <t>(*1st    EL2008  *)</t>
  </si>
  <si>
    <t>Out_ApronTop_SlideBWD</t>
  </si>
  <si>
    <t>Out_ApronTop_FoldFWD</t>
  </si>
  <si>
    <t>Out_ApronTop_FoldBWD</t>
  </si>
  <si>
    <t>Out_ApronBtm_SlideFWD</t>
  </si>
  <si>
    <t>Out_ApronBtm_SlideBWD</t>
  </si>
  <si>
    <t>Out_ApronBtm_FoldFWD</t>
  </si>
  <si>
    <t>Out_ApronBtm_FoldBWD</t>
  </si>
  <si>
    <t>(*2nd    EL2008  *)</t>
  </si>
  <si>
    <t>Out_ClampUp</t>
  </si>
  <si>
    <t>Out_ClampDown</t>
  </si>
  <si>
    <t>Out_PumpA_Load_Ligh</t>
  </si>
  <si>
    <t>Out_PumpA_Load_Heav</t>
  </si>
  <si>
    <t>Out_PumpB_Load_Ligh</t>
  </si>
  <si>
    <t>Out_PumpB_Load_Heav</t>
  </si>
  <si>
    <t xml:space="preserve">(*3rd    EL2008  </t>
  </si>
  <si>
    <t>Q2.x</t>
  </si>
  <si>
    <t>Out_GaugingF_Ext</t>
  </si>
  <si>
    <t>Out_GaugingF_Rtn</t>
  </si>
  <si>
    <t>Out_GaugingR_Ext</t>
  </si>
  <si>
    <t>Out_GaugingR_Rtn</t>
  </si>
  <si>
    <t>Out_Gripper</t>
  </si>
  <si>
    <t>Out_GripperDatum_S0</t>
  </si>
  <si>
    <t>Out_GripperDatum_S1</t>
  </si>
  <si>
    <t>(*上翻板滑动前移*)</t>
  </si>
  <si>
    <t>(*上翻板滑动后移*)</t>
  </si>
  <si>
    <t>(*上翻板折弯前进*)</t>
  </si>
  <si>
    <t>(*上翻板折弯返回*)</t>
  </si>
  <si>
    <t>(*下翻板滑动前移*)</t>
  </si>
  <si>
    <t>(*下翻板滑动后移*)</t>
  </si>
  <si>
    <t>(*下翻板折弯前进*)</t>
  </si>
  <si>
    <t>(*下翻板折弯返回*)</t>
  </si>
  <si>
    <t>(*钳口放松*)</t>
  </si>
  <si>
    <t>(*钳口夹紧*)</t>
  </si>
  <si>
    <t>(*备用*)</t>
  </si>
  <si>
    <t>(*泵A卸荷-轻型*)</t>
  </si>
  <si>
    <t>(*泵A卸荷-重型*)</t>
  </si>
  <si>
    <t>(*泵B卸荷-轻型*)</t>
  </si>
  <si>
    <t>(*泵B卸荷-重型*)</t>
  </si>
  <si>
    <t>(*板厚调整油缸1伸出 *)</t>
  </si>
  <si>
    <t>(*板厚调整油缸1缩回*)</t>
  </si>
  <si>
    <t>(*板厚调整油缸2伸出*)</t>
  </si>
  <si>
    <t>(*板厚调整油缸2缩回*)</t>
  </si>
  <si>
    <t>(*挡板气缸1伸出*)</t>
  </si>
  <si>
    <t>(*挡板气缸2伸出*)</t>
  </si>
  <si>
    <t>(*油泵A正转 *)</t>
  </si>
  <si>
    <t>(*油泵B正转*)</t>
  </si>
  <si>
    <t>(*拉刀反转*)</t>
  </si>
  <si>
    <t>(*拉刀高低速*)</t>
  </si>
  <si>
    <t>(*润滑泵*)</t>
  </si>
  <si>
    <t>(*操作员指示灯（红色）*)</t>
  </si>
  <si>
    <t>(*操作员指示灯（黄色）*)</t>
  </si>
  <si>
    <t>(*操作员指示灯（绿色）*)</t>
  </si>
  <si>
    <t>(*操作员指示灯蜂鸣器*)</t>
  </si>
  <si>
    <t>(*灯条(红色)*)</t>
  </si>
  <si>
    <t>(*灯条(黄色)*)</t>
  </si>
  <si>
    <t>(*4th    EL2008  *)</t>
  </si>
  <si>
    <t>Out_PumpA_ST</t>
  </si>
  <si>
    <t>Out_PumpB_ST</t>
  </si>
  <si>
    <t>Out_LubePump</t>
  </si>
  <si>
    <t>Out_EMG_RopeStop</t>
  </si>
  <si>
    <t>(*5th    EL2008  *)</t>
  </si>
  <si>
    <t>Out_OpLed_Red</t>
  </si>
  <si>
    <t>Out_OpLed_Yellow</t>
  </si>
  <si>
    <t>Out_OpLed_Green</t>
  </si>
  <si>
    <t>Out_OpLed_Beep</t>
  </si>
  <si>
    <t>接近开关备用2</t>
    <phoneticPr fontId="1" type="noConversion"/>
  </si>
  <si>
    <t>有板检测</t>
    <phoneticPr fontId="1" type="noConversion"/>
  </si>
  <si>
    <t>In_SigSheetDetect1</t>
    <phoneticPr fontId="1" type="noConversion"/>
  </si>
  <si>
    <t>In_SigSheetDetect2</t>
    <phoneticPr fontId="1" type="noConversion"/>
  </si>
  <si>
    <t>Out_bak12</t>
    <phoneticPr fontId="1" type="noConversion"/>
  </si>
  <si>
    <t>Out_bak13</t>
    <phoneticPr fontId="1" type="noConversion"/>
  </si>
  <si>
    <t>EMG_RopeStop</t>
    <phoneticPr fontId="1" type="noConversion"/>
  </si>
  <si>
    <t>(*拉刀正转*)</t>
    <phoneticPr fontId="1" type="noConversion"/>
  </si>
  <si>
    <t>Out_SlitterFwd</t>
    <phoneticPr fontId="1" type="noConversion"/>
  </si>
  <si>
    <t>Out_SlitterBwd</t>
    <phoneticPr fontId="1" type="noConversion"/>
  </si>
  <si>
    <t>Out_SlitterSpeed</t>
    <phoneticPr fontId="1" type="noConversion"/>
  </si>
  <si>
    <t>Out_Led_Red</t>
    <phoneticPr fontId="1" type="noConversion"/>
  </si>
  <si>
    <t>Out_Led_Yellow</t>
    <phoneticPr fontId="1" type="noConversion"/>
  </si>
  <si>
    <t>Out_Led_Green</t>
    <phoneticPr fontId="1" type="noConversion"/>
  </si>
  <si>
    <t>(*灯条(绿色)*)</t>
    <phoneticPr fontId="1" type="noConversion"/>
  </si>
  <si>
    <t>(*拉绳急停断电*)</t>
    <phoneticPr fontId="1" type="noConversion"/>
  </si>
  <si>
    <t>PumpA_ST</t>
    <phoneticPr fontId="1" type="noConversion"/>
  </si>
  <si>
    <t>PumpB_ST</t>
    <phoneticPr fontId="1" type="noConversion"/>
  </si>
  <si>
    <t>SlitterFwd</t>
    <phoneticPr fontId="1" type="noConversion"/>
  </si>
  <si>
    <t>SlitterBwd</t>
    <phoneticPr fontId="1" type="noConversion"/>
  </si>
  <si>
    <t>SlitterSpeed</t>
    <phoneticPr fontId="1" type="noConversion"/>
  </si>
  <si>
    <t>LubePump</t>
    <phoneticPr fontId="1" type="noConversion"/>
  </si>
  <si>
    <t>SuctionCup1</t>
    <phoneticPr fontId="1" type="noConversion"/>
  </si>
  <si>
    <t>SuctionCup2</t>
    <phoneticPr fontId="1" type="noConversion"/>
  </si>
  <si>
    <t>(*1:1组2:2组 3:3组  4:4组*)</t>
    <phoneticPr fontId="1" type="noConversion"/>
  </si>
  <si>
    <t>全局 - 进料伺服位置</t>
    <phoneticPr fontId="1" type="noConversion"/>
  </si>
  <si>
    <t>参数 - 进料位置</t>
    <phoneticPr fontId="1" type="noConversion"/>
  </si>
  <si>
    <t>手动 - 移动进料装置-位置</t>
    <phoneticPr fontId="1" type="noConversion"/>
  </si>
  <si>
    <t>Hmi_bArray[55]</t>
    <phoneticPr fontId="1" type="noConversion"/>
  </si>
  <si>
    <t>Hmi_bArray[51]</t>
    <phoneticPr fontId="1" type="noConversion"/>
  </si>
  <si>
    <t>手动 - 移动进料装置-命令</t>
    <phoneticPr fontId="1" type="noConversion"/>
  </si>
  <si>
    <t>Hmi_iSemiAuto[4]</t>
    <phoneticPr fontId="1" type="noConversion"/>
  </si>
  <si>
    <t>Hmi_iFeedAuto[0]</t>
    <phoneticPr fontId="1" type="noConversion"/>
  </si>
  <si>
    <t>In_sigClampMute</t>
    <phoneticPr fontId="1" type="noConversion"/>
  </si>
  <si>
    <t>参数 - 板头到取料位置的偏移</t>
    <phoneticPr fontId="1" type="noConversion"/>
  </si>
  <si>
    <t>参数 - 进料零点到设备边缘的偏移</t>
    <phoneticPr fontId="1" type="noConversion"/>
  </si>
  <si>
    <t>板材长度与夹送组匹配规则</t>
    <phoneticPr fontId="1" type="noConversion"/>
  </si>
  <si>
    <r>
      <rPr>
        <sz val="12"/>
        <color rgb="FF404040"/>
        <rFont val="微软雅黑"/>
        <family val="2"/>
        <charset val="134"/>
      </rPr>
      <t>组</t>
    </r>
    <r>
      <rPr>
        <sz val="12"/>
        <color rgb="FF404040"/>
        <rFont val="Segoe UI"/>
        <family val="2"/>
      </rPr>
      <t>1+</t>
    </r>
    <r>
      <rPr>
        <sz val="12"/>
        <color rgb="FF404040"/>
        <rFont val="微软雅黑"/>
        <family val="2"/>
        <charset val="134"/>
      </rPr>
      <t>组</t>
    </r>
    <r>
      <rPr>
        <sz val="12"/>
        <color rgb="FF404040"/>
        <rFont val="Segoe UI"/>
        <family val="2"/>
      </rPr>
      <t xml:space="preserve">2 </t>
    </r>
    <r>
      <rPr>
        <sz val="12"/>
        <color rgb="FF404040"/>
        <rFont val="微软雅黑"/>
        <family val="2"/>
        <charset val="134"/>
      </rPr>
      <t>或</t>
    </r>
    <r>
      <rPr>
        <sz val="12"/>
        <color rgb="FF404040"/>
        <rFont val="Segoe UI"/>
        <family val="2"/>
      </rPr>
      <t xml:space="preserve"> </t>
    </r>
    <r>
      <rPr>
        <sz val="12"/>
        <color rgb="FF404040"/>
        <rFont val="微软雅黑"/>
        <family val="2"/>
        <charset val="134"/>
      </rPr>
      <t>组</t>
    </r>
    <r>
      <rPr>
        <sz val="12"/>
        <color rgb="FF404040"/>
        <rFont val="Segoe UI"/>
        <family val="2"/>
      </rPr>
      <t>3+</t>
    </r>
    <r>
      <rPr>
        <sz val="12"/>
        <color rgb="FF404040"/>
        <rFont val="微软雅黑"/>
        <family val="2"/>
        <charset val="134"/>
      </rPr>
      <t>组</t>
    </r>
    <r>
      <rPr>
        <sz val="12"/>
        <color rgb="FF404040"/>
        <rFont val="Segoe UI"/>
        <family val="2"/>
      </rPr>
      <t>4</t>
    </r>
    <r>
      <rPr>
        <sz val="12"/>
        <color rgb="FF404040"/>
        <rFont val="宋体"/>
        <family val="2"/>
        <charset val="134"/>
      </rPr>
      <t>或组2+组3</t>
    </r>
    <phoneticPr fontId="1" type="noConversion"/>
  </si>
  <si>
    <t>2-3 = 795</t>
    <phoneticPr fontId="1" type="noConversion"/>
  </si>
  <si>
    <t>3-4 = 705</t>
    <phoneticPr fontId="1" type="noConversion"/>
  </si>
  <si>
    <t>1-2 = 705</t>
    <phoneticPr fontId="1" type="noConversion"/>
  </si>
  <si>
    <r>
      <t>795</t>
    </r>
    <r>
      <rPr>
        <sz val="12"/>
        <color rgb="FF404040"/>
        <rFont val="微软雅黑"/>
        <family val="2"/>
        <charset val="134"/>
      </rPr>
      <t>（中距）</t>
    </r>
    <r>
      <rPr>
        <sz val="12"/>
        <color rgb="FF404040"/>
        <rFont val="Segoe UI"/>
        <family val="2"/>
      </rPr>
      <t xml:space="preserve"> / 1500</t>
    </r>
    <r>
      <rPr>
        <sz val="12"/>
        <color rgb="FF404040"/>
        <rFont val="微软雅黑"/>
        <family val="2"/>
        <charset val="134"/>
      </rPr>
      <t>（跨组）</t>
    </r>
    <phoneticPr fontId="1" type="noConversion"/>
  </si>
  <si>
    <t>705（短间距）</t>
    <phoneticPr fontId="1" type="noConversion"/>
  </si>
  <si>
    <r>
      <t>705</t>
    </r>
    <r>
      <rPr>
        <sz val="12"/>
        <color rgb="FF404040"/>
        <rFont val="宋体"/>
        <family val="2"/>
        <charset val="134"/>
      </rPr>
      <t>（短间距）</t>
    </r>
    <r>
      <rPr>
        <sz val="12"/>
        <color rgb="FF404040"/>
        <rFont val="Segoe UI"/>
        <family val="2"/>
      </rPr>
      <t xml:space="preserve"> / 795</t>
    </r>
    <r>
      <rPr>
        <sz val="12"/>
        <color rgb="FF404040"/>
        <rFont val="宋体"/>
        <family val="2"/>
        <charset val="134"/>
      </rPr>
      <t>（中距）</t>
    </r>
    <phoneticPr fontId="1" type="noConversion"/>
  </si>
  <si>
    <t>705 &lt; L &lt;795</t>
    <phoneticPr fontId="1" type="noConversion"/>
  </si>
  <si>
    <r>
      <rPr>
        <sz val="12"/>
        <color rgb="FF404040"/>
        <rFont val="微软雅黑"/>
        <family val="2"/>
        <charset val="134"/>
      </rPr>
      <t>组</t>
    </r>
    <r>
      <rPr>
        <sz val="12"/>
        <color rgb="FF404040"/>
        <rFont val="Segoe UI"/>
        <family val="2"/>
      </rPr>
      <t>1+</t>
    </r>
    <r>
      <rPr>
        <sz val="12"/>
        <color rgb="FF404040"/>
        <rFont val="微软雅黑"/>
        <family val="2"/>
        <charset val="134"/>
      </rPr>
      <t>组</t>
    </r>
    <r>
      <rPr>
        <sz val="12"/>
        <color rgb="FF404040"/>
        <rFont val="Segoe UI"/>
        <family val="2"/>
      </rPr>
      <t>4</t>
    </r>
    <phoneticPr fontId="1" type="noConversion"/>
  </si>
  <si>
    <t>1-4</t>
    <phoneticPr fontId="1" type="noConversion"/>
  </si>
  <si>
    <t>板材长度需大于两组夹送之间的间距，才能保证夹送能同时夹住板材</t>
    <phoneticPr fontId="1" type="noConversion"/>
  </si>
  <si>
    <t>同时考虑夹送的位置保证板材的中心与两组夹送的中心对齐</t>
    <phoneticPr fontId="1" type="noConversion"/>
  </si>
  <si>
    <t>板材首尾不允许超出设备边缘</t>
    <phoneticPr fontId="1" type="noConversion"/>
  </si>
  <si>
    <t>1块板材放置，最小长度705，最大长度4000</t>
    <phoneticPr fontId="1" type="noConversion"/>
  </si>
  <si>
    <t>2块同时板材放置，最小长度705，最大长度2000</t>
    <phoneticPr fontId="1" type="noConversion"/>
  </si>
  <si>
    <t>1-2 / 3-4</t>
    <phoneticPr fontId="1" type="noConversion"/>
  </si>
  <si>
    <t>组1+组2 / 组3+组4</t>
    <phoneticPr fontId="1" type="noConversion"/>
  </si>
  <si>
    <t>705 &lt; L &lt;2000</t>
    <phoneticPr fontId="1" type="noConversion"/>
  </si>
  <si>
    <t>板材长度（L）</t>
    <phoneticPr fontId="1" type="noConversion"/>
  </si>
  <si>
    <t>适用夹送组组合</t>
    <phoneticPr fontId="1" type="noConversion"/>
  </si>
  <si>
    <t>组号组合</t>
    <phoneticPr fontId="1" type="noConversion"/>
  </si>
  <si>
    <t>夹送组间距（mm）</t>
    <phoneticPr fontId="1" type="noConversion"/>
  </si>
  <si>
    <t>关键逻辑说明</t>
    <phoneticPr fontId="1" type="noConversion"/>
  </si>
  <si>
    <t>组1+组2 或 组3+组4</t>
    <phoneticPr fontId="1" type="noConversion"/>
  </si>
  <si>
    <t>1-2 或 3-4</t>
    <phoneticPr fontId="1" type="noConversion"/>
  </si>
  <si>
    <t>2205（全机组）</t>
    <phoneticPr fontId="1" type="noConversion"/>
  </si>
  <si>
    <t>1500≤ L &lt;2205</t>
    <phoneticPr fontId="1" type="noConversion"/>
  </si>
  <si>
    <t>795≤ L &lt;1500</t>
    <phoneticPr fontId="1" type="noConversion"/>
  </si>
  <si>
    <t>2205≤ L &lt;4000</t>
    <phoneticPr fontId="1" type="noConversion"/>
  </si>
  <si>
    <r>
      <rPr>
        <sz val="11"/>
        <color rgb="FF8B8B8B"/>
        <rFont val="宋体"/>
        <family val="2"/>
        <charset val="134"/>
      </rPr>
      <t>组</t>
    </r>
    <r>
      <rPr>
        <sz val="11"/>
        <color rgb="FF8B8B8B"/>
        <rFont val="Segoe UI"/>
        <family val="2"/>
      </rPr>
      <t>1=909mm</t>
    </r>
    <r>
      <rPr>
        <sz val="11"/>
        <color rgb="FF8B8B8B"/>
        <rFont val="微软雅黑"/>
        <family val="2"/>
        <charset val="134"/>
      </rPr>
      <t>，</t>
    </r>
    <r>
      <rPr>
        <sz val="11"/>
        <color rgb="FF8B8B8B"/>
        <rFont val="宋体"/>
        <family val="2"/>
        <charset val="134"/>
      </rPr>
      <t>组</t>
    </r>
    <r>
      <rPr>
        <sz val="11"/>
        <color rgb="FF8B8B8B"/>
        <rFont val="Segoe UI"/>
        <family val="2"/>
      </rPr>
      <t>2=1614mm</t>
    </r>
    <r>
      <rPr>
        <sz val="11"/>
        <color rgb="FF8B8B8B"/>
        <rFont val="微软雅黑"/>
        <family val="2"/>
        <charset val="134"/>
      </rPr>
      <t>，</t>
    </r>
    <r>
      <rPr>
        <sz val="11"/>
        <color rgb="FF8B8B8B"/>
        <rFont val="宋体"/>
        <family val="2"/>
        <charset val="134"/>
      </rPr>
      <t>组</t>
    </r>
    <r>
      <rPr>
        <sz val="11"/>
        <color rgb="FF8B8B8B"/>
        <rFont val="Segoe UI"/>
        <family val="2"/>
      </rPr>
      <t>3=2409mm</t>
    </r>
    <r>
      <rPr>
        <sz val="11"/>
        <color rgb="FF8B8B8B"/>
        <rFont val="微软雅黑"/>
        <family val="2"/>
        <charset val="134"/>
      </rPr>
      <t>，</t>
    </r>
    <r>
      <rPr>
        <sz val="11"/>
        <color rgb="FF8B8B8B"/>
        <rFont val="宋体"/>
        <family val="2"/>
        <charset val="134"/>
      </rPr>
      <t>组</t>
    </r>
    <r>
      <rPr>
        <sz val="11"/>
        <color rgb="FF8B8B8B"/>
        <rFont val="Segoe UI"/>
        <family val="2"/>
      </rPr>
      <t>4=3114mm</t>
    </r>
    <r>
      <rPr>
        <sz val="11"/>
        <color rgb="FF8B8B8B"/>
        <rFont val="微软雅黑"/>
        <family val="2"/>
        <charset val="134"/>
      </rPr>
      <t>，设备总长</t>
    </r>
    <r>
      <rPr>
        <sz val="11"/>
        <color rgb="FF8B8B8B"/>
        <rFont val="Segoe UI"/>
        <family val="2"/>
      </rPr>
      <t>4000mm</t>
    </r>
    <phoneticPr fontId="1" type="noConversion"/>
  </si>
  <si>
    <r>
      <rPr>
        <sz val="12"/>
        <color rgb="FF404040"/>
        <rFont val="微软雅黑"/>
        <family val="2"/>
        <charset val="134"/>
      </rPr>
      <t>板材必须完全覆盖所选夹送组的两个夹子（即</t>
    </r>
    <r>
      <rPr>
        <sz val="12"/>
        <color rgb="FF404040"/>
        <rFont val="Segoe UI"/>
        <family val="2"/>
      </rPr>
      <t> </t>
    </r>
    <r>
      <rPr>
        <sz val="13.3"/>
        <color rgb="FF404040"/>
        <rFont val="Cambria Math"/>
        <family val="1"/>
      </rPr>
      <t>𝐻≤</t>
    </r>
    <r>
      <rPr>
        <sz val="13.3"/>
        <color rgb="FF404040"/>
        <rFont val="宋体"/>
        <family val="3"/>
        <charset val="134"/>
      </rPr>
      <t>左侧夹子</t>
    </r>
    <r>
      <rPr>
        <i/>
        <sz val="13.3"/>
        <color rgb="FF404040"/>
        <rFont val="KaTeX_Math"/>
        <family val="2"/>
      </rPr>
      <t>H</t>
    </r>
    <r>
      <rPr>
        <sz val="13.3"/>
        <color rgb="FF404040"/>
        <rFont val="Cambria Math"/>
        <family val="1"/>
      </rPr>
      <t>≤</t>
    </r>
    <r>
      <rPr>
        <sz val="13.3"/>
        <color rgb="FF404040"/>
        <rFont val="宋体"/>
        <family val="3"/>
        <charset val="134"/>
      </rPr>
      <t>左侧夹子</t>
    </r>
    <r>
      <rPr>
        <sz val="12"/>
        <color rgb="FF404040"/>
        <rFont val="Segoe UI"/>
        <family val="2"/>
      </rPr>
      <t> </t>
    </r>
    <r>
      <rPr>
        <sz val="12"/>
        <color rgb="FF404040"/>
        <rFont val="微软雅黑"/>
        <family val="2"/>
        <charset val="134"/>
      </rPr>
      <t>且</t>
    </r>
    <r>
      <rPr>
        <sz val="12"/>
        <color rgb="FF404040"/>
        <rFont val="Segoe UI"/>
        <family val="2"/>
      </rPr>
      <t> </t>
    </r>
    <r>
      <rPr>
        <sz val="13.3"/>
        <color rgb="FF404040"/>
        <rFont val="Cambria Math"/>
        <family val="1"/>
      </rPr>
      <t>𝑇≥</t>
    </r>
    <r>
      <rPr>
        <sz val="13.3"/>
        <color rgb="FF404040"/>
        <rFont val="宋体"/>
        <family val="3"/>
        <charset val="134"/>
      </rPr>
      <t>右侧夹子</t>
    </r>
    <r>
      <rPr>
        <i/>
        <sz val="13.3"/>
        <color rgb="FF404040"/>
        <rFont val="KaTeX_Math"/>
        <family val="2"/>
      </rPr>
      <t>T</t>
    </r>
    <r>
      <rPr>
        <sz val="13.3"/>
        <color rgb="FF404040"/>
        <rFont val="Cambria Math"/>
        <family val="1"/>
      </rPr>
      <t>≥</t>
    </r>
    <r>
      <rPr>
        <sz val="13.3"/>
        <color rgb="FF404040"/>
        <rFont val="宋体"/>
        <family val="3"/>
        <charset val="134"/>
      </rPr>
      <t>右侧夹子</t>
    </r>
    <r>
      <rPr>
        <sz val="12"/>
        <color rgb="FF404040"/>
        <rFont val="微软雅黑"/>
        <family val="2"/>
        <charset val="134"/>
      </rPr>
      <t>）。</t>
    </r>
    <phoneticPr fontId="1" type="noConversion"/>
  </si>
  <si>
    <t>2. 双板并排放置逻辑</t>
  </si>
  <si>
    <r>
      <t>夹送组分配</t>
    </r>
    <r>
      <rPr>
        <sz val="12"/>
        <color rgb="FF404040"/>
        <rFont val="Segoe UI"/>
        <family val="2"/>
      </rPr>
      <t>：</t>
    </r>
  </si>
  <si>
    <r>
      <t>横向限制</t>
    </r>
    <r>
      <rPr>
        <sz val="12"/>
        <color rgb="FF404040"/>
        <rFont val="Segoe UI"/>
        <family val="2"/>
      </rPr>
      <t>：</t>
    </r>
  </si>
  <si>
    <r>
      <rPr>
        <sz val="12"/>
        <color rgb="FF404040"/>
        <rFont val="微软雅黑"/>
        <family val="2"/>
        <charset val="134"/>
      </rPr>
      <t>板</t>
    </r>
    <r>
      <rPr>
        <sz val="12"/>
        <color rgb="FF404040"/>
        <rFont val="Segoe UI"/>
        <family val="2"/>
      </rPr>
      <t>1</t>
    </r>
    <r>
      <rPr>
        <sz val="12"/>
        <color rgb="FF404040"/>
        <rFont val="微软雅黑"/>
        <family val="2"/>
        <charset val="134"/>
      </rPr>
      <t>：使用夹送组</t>
    </r>
    <r>
      <rPr>
        <sz val="12"/>
        <color rgb="FF404040"/>
        <rFont val="Segoe UI"/>
        <family val="2"/>
      </rPr>
      <t>1-2</t>
    </r>
    <r>
      <rPr>
        <sz val="12"/>
        <color rgb="FF404040"/>
        <rFont val="微软雅黑"/>
        <family val="2"/>
        <charset val="134"/>
      </rPr>
      <t>，中心对齐</t>
    </r>
    <r>
      <rPr>
        <i/>
        <sz val="13.3"/>
        <color rgb="FF404040"/>
        <rFont val="KaTeX_Math"/>
        <family val="2"/>
      </rPr>
      <t>C</t>
    </r>
    <r>
      <rPr>
        <sz val="7.7"/>
        <color rgb="FF404040"/>
        <rFont val="Times New Roman"/>
        <family val="1"/>
      </rPr>
      <t>1</t>
    </r>
    <r>
      <rPr>
        <sz val="1"/>
        <color rgb="FF404040"/>
        <rFont val="Times New Roman"/>
        <family val="1"/>
      </rPr>
      <t>​</t>
    </r>
    <r>
      <rPr>
        <sz val="13.3"/>
        <color rgb="FF404040"/>
        <rFont val="Times New Roman"/>
        <family val="1"/>
      </rPr>
      <t>=1261.5mm</t>
    </r>
    <r>
      <rPr>
        <sz val="12"/>
        <color rgb="FF404040"/>
        <rFont val="微软雅黑"/>
        <family val="2"/>
        <charset val="134"/>
      </rPr>
      <t>。</t>
    </r>
    <phoneticPr fontId="1" type="noConversion"/>
  </si>
  <si>
    <r>
      <rPr>
        <sz val="12"/>
        <color rgb="FF404040"/>
        <rFont val="微软雅黑"/>
        <family val="2"/>
        <charset val="134"/>
      </rPr>
      <t>板</t>
    </r>
    <r>
      <rPr>
        <sz val="12"/>
        <color rgb="FF404040"/>
        <rFont val="Segoe UI"/>
        <family val="2"/>
      </rPr>
      <t>2</t>
    </r>
    <r>
      <rPr>
        <sz val="12"/>
        <color rgb="FF404040"/>
        <rFont val="微软雅黑"/>
        <family val="2"/>
        <charset val="134"/>
      </rPr>
      <t>：使用夹送组</t>
    </r>
    <r>
      <rPr>
        <sz val="12"/>
        <color rgb="FF404040"/>
        <rFont val="Segoe UI"/>
        <family val="2"/>
      </rPr>
      <t>3-4</t>
    </r>
    <r>
      <rPr>
        <sz val="12"/>
        <color rgb="FF404040"/>
        <rFont val="微软雅黑"/>
        <family val="2"/>
        <charset val="134"/>
      </rPr>
      <t>，中心对齐</t>
    </r>
    <r>
      <rPr>
        <i/>
        <sz val="13.3"/>
        <color rgb="FF404040"/>
        <rFont val="KaTeX_Math"/>
        <family val="2"/>
      </rPr>
      <t>C</t>
    </r>
    <r>
      <rPr>
        <sz val="7.7"/>
        <color rgb="FF404040"/>
        <rFont val="Times New Roman"/>
        <family val="1"/>
      </rPr>
      <t>2</t>
    </r>
    <r>
      <rPr>
        <sz val="1"/>
        <color rgb="FF404040"/>
        <rFont val="Times New Roman"/>
        <family val="1"/>
      </rPr>
      <t>​</t>
    </r>
    <r>
      <rPr>
        <sz val="13.3"/>
        <color rgb="FF404040"/>
        <rFont val="Times New Roman"/>
        <family val="1"/>
      </rPr>
      <t>=2761.5mm</t>
    </r>
    <r>
      <rPr>
        <sz val="12"/>
        <color rgb="FF404040"/>
        <rFont val="微软雅黑"/>
        <family val="2"/>
        <charset val="134"/>
      </rPr>
      <t>。</t>
    </r>
    <phoneticPr fontId="1" type="noConversion"/>
  </si>
  <si>
    <r>
      <rPr>
        <sz val="12"/>
        <color rgb="FF404040"/>
        <rFont val="微软雅黑"/>
        <family val="2"/>
        <charset val="134"/>
      </rPr>
      <t>两板总宽度</t>
    </r>
    <r>
      <rPr>
        <i/>
        <sz val="13.3"/>
        <color rgb="FF404040"/>
        <rFont val="KaTeX_Math"/>
        <family val="2"/>
      </rPr>
      <t>W</t>
    </r>
    <r>
      <rPr>
        <sz val="7.7"/>
        <color rgb="FF404040"/>
        <rFont val="Times New Roman"/>
        <family val="1"/>
      </rPr>
      <t>1</t>
    </r>
    <r>
      <rPr>
        <sz val="1"/>
        <color rgb="FF404040"/>
        <rFont val="Times New Roman"/>
        <family val="1"/>
      </rPr>
      <t>​</t>
    </r>
    <r>
      <rPr>
        <sz val="13.3"/>
        <color rgb="FF404040"/>
        <rFont val="Times New Roman"/>
        <family val="1"/>
      </rPr>
      <t>+</t>
    </r>
    <r>
      <rPr>
        <i/>
        <sz val="13.3"/>
        <color rgb="FF404040"/>
        <rFont val="KaTeX_Math"/>
        <family val="2"/>
      </rPr>
      <t>W</t>
    </r>
    <r>
      <rPr>
        <sz val="7.7"/>
        <color rgb="FF404040"/>
        <rFont val="Times New Roman"/>
        <family val="1"/>
      </rPr>
      <t>2</t>
    </r>
    <r>
      <rPr>
        <sz val="1"/>
        <color rgb="FF404040"/>
        <rFont val="Times New Roman"/>
        <family val="1"/>
      </rPr>
      <t>​</t>
    </r>
    <r>
      <rPr>
        <sz val="13.3"/>
        <color rgb="FF404040"/>
        <rFont val="Times New Roman"/>
        <family val="1"/>
      </rPr>
      <t>+10mm</t>
    </r>
    <r>
      <rPr>
        <sz val="13.3"/>
        <color rgb="FF404040"/>
        <rFont val="宋体"/>
        <family val="3"/>
        <charset val="134"/>
      </rPr>
      <t>（间隙）</t>
    </r>
    <r>
      <rPr>
        <sz val="13.3"/>
        <color rgb="FF404040"/>
        <rFont val="Cambria Math"/>
        <family val="1"/>
      </rPr>
      <t>≤</t>
    </r>
    <r>
      <rPr>
        <sz val="13.3"/>
        <color rgb="FF404040"/>
        <rFont val="Times New Roman"/>
        <family val="1"/>
      </rPr>
      <t>1200mm</t>
    </r>
    <r>
      <rPr>
        <sz val="12"/>
        <color rgb="FF404040"/>
        <rFont val="微软雅黑"/>
        <family val="2"/>
        <charset val="134"/>
      </rPr>
      <t>。</t>
    </r>
    <phoneticPr fontId="1" type="noConversion"/>
  </si>
  <si>
    <r>
      <rPr>
        <sz val="12"/>
        <color rgb="FF404040"/>
        <rFont val="微软雅黑"/>
        <family val="2"/>
        <charset val="134"/>
      </rPr>
      <t>板</t>
    </r>
    <r>
      <rPr>
        <sz val="12"/>
        <color rgb="FF404040"/>
        <rFont val="Segoe UI"/>
        <family val="2"/>
      </rPr>
      <t>1</t>
    </r>
    <r>
      <rPr>
        <sz val="12"/>
        <color rgb="FF404040"/>
        <rFont val="微软雅黑"/>
        <family val="2"/>
        <charset val="134"/>
      </rPr>
      <t>尾部</t>
    </r>
    <r>
      <rPr>
        <sz val="12"/>
        <color rgb="FF404040"/>
        <rFont val="Segoe UI"/>
        <family val="2"/>
      </rPr>
      <t> </t>
    </r>
    <r>
      <rPr>
        <i/>
        <sz val="13.3"/>
        <color rgb="FF404040"/>
        <rFont val="KaTeX_Math"/>
        <family val="2"/>
      </rPr>
      <t>T</t>
    </r>
    <r>
      <rPr>
        <sz val="7.7"/>
        <color rgb="FF404040"/>
        <rFont val="Times New Roman"/>
        <family val="1"/>
      </rPr>
      <t>1</t>
    </r>
    <r>
      <rPr>
        <sz val="1"/>
        <color rgb="FF404040"/>
        <rFont val="Times New Roman"/>
        <family val="1"/>
      </rPr>
      <t>​</t>
    </r>
    <r>
      <rPr>
        <sz val="13.3"/>
        <color rgb="FF404040"/>
        <rFont val="Times New Roman"/>
        <family val="1"/>
      </rPr>
      <t>=</t>
    </r>
    <r>
      <rPr>
        <i/>
        <sz val="13.3"/>
        <color rgb="FF404040"/>
        <rFont val="KaTeX_Math"/>
        <family val="2"/>
      </rPr>
      <t>C</t>
    </r>
    <r>
      <rPr>
        <sz val="7.7"/>
        <color rgb="FF404040"/>
        <rFont val="Times New Roman"/>
        <family val="1"/>
      </rPr>
      <t>1</t>
    </r>
    <r>
      <rPr>
        <sz val="1"/>
        <color rgb="FF404040"/>
        <rFont val="Times New Roman"/>
        <family val="1"/>
      </rPr>
      <t>​</t>
    </r>
    <r>
      <rPr>
        <sz val="13.3"/>
        <color rgb="FF404040"/>
        <rFont val="Times New Roman"/>
        <family val="1"/>
      </rPr>
      <t>+</t>
    </r>
    <r>
      <rPr>
        <sz val="7.7"/>
        <color rgb="FF404040"/>
        <rFont val="Times New Roman"/>
        <family val="1"/>
      </rPr>
      <t>2</t>
    </r>
    <r>
      <rPr>
        <i/>
        <sz val="7.7"/>
        <color rgb="FF404040"/>
        <rFont val="KaTeX_Math"/>
        <family val="2"/>
      </rPr>
      <t>L</t>
    </r>
    <r>
      <rPr>
        <sz val="7.85"/>
        <color rgb="FF404040"/>
        <rFont val="Times New Roman"/>
        <family val="1"/>
      </rPr>
      <t>1</t>
    </r>
    <r>
      <rPr>
        <sz val="1"/>
        <color rgb="FF404040"/>
        <rFont val="Times New Roman"/>
        <family val="1"/>
      </rPr>
      <t>​​</t>
    </r>
    <r>
      <rPr>
        <sz val="13.3"/>
        <color rgb="FF404040"/>
        <rFont val="Cambria Math"/>
        <family val="1"/>
      </rPr>
      <t>≤</t>
    </r>
    <r>
      <rPr>
        <sz val="13.3"/>
        <color rgb="FF404040"/>
        <rFont val="Times New Roman"/>
        <family val="1"/>
      </rPr>
      <t>2000mm</t>
    </r>
    <r>
      <rPr>
        <sz val="12"/>
        <color rgb="FF404040"/>
        <rFont val="微软雅黑"/>
        <family val="2"/>
        <charset val="134"/>
      </rPr>
      <t>。</t>
    </r>
    <phoneticPr fontId="1" type="noConversion"/>
  </si>
  <si>
    <r>
      <rPr>
        <sz val="12"/>
        <color rgb="FF404040"/>
        <rFont val="微软雅黑"/>
        <family val="2"/>
        <charset val="134"/>
      </rPr>
      <t>板</t>
    </r>
    <r>
      <rPr>
        <sz val="12"/>
        <color rgb="FF404040"/>
        <rFont val="Segoe UI"/>
        <family val="2"/>
      </rPr>
      <t>2</t>
    </r>
    <r>
      <rPr>
        <sz val="12"/>
        <color rgb="FF404040"/>
        <rFont val="微软雅黑"/>
        <family val="2"/>
        <charset val="134"/>
      </rPr>
      <t>尾部</t>
    </r>
    <r>
      <rPr>
        <sz val="12"/>
        <color rgb="FF404040"/>
        <rFont val="Segoe UI"/>
        <family val="2"/>
      </rPr>
      <t> </t>
    </r>
    <r>
      <rPr>
        <i/>
        <sz val="13.3"/>
        <color rgb="FF404040"/>
        <rFont val="KaTeX_Math"/>
        <family val="2"/>
      </rPr>
      <t>T</t>
    </r>
    <r>
      <rPr>
        <sz val="7.7"/>
        <color rgb="FF404040"/>
        <rFont val="Times New Roman"/>
        <family val="1"/>
      </rPr>
      <t>2</t>
    </r>
    <r>
      <rPr>
        <sz val="1"/>
        <color rgb="FF404040"/>
        <rFont val="Times New Roman"/>
        <family val="1"/>
      </rPr>
      <t>​</t>
    </r>
    <r>
      <rPr>
        <sz val="13.3"/>
        <color rgb="FF404040"/>
        <rFont val="Times New Roman"/>
        <family val="1"/>
      </rPr>
      <t>=</t>
    </r>
    <r>
      <rPr>
        <i/>
        <sz val="13.3"/>
        <color rgb="FF404040"/>
        <rFont val="KaTeX_Math"/>
        <family val="2"/>
      </rPr>
      <t>C</t>
    </r>
    <r>
      <rPr>
        <sz val="7.7"/>
        <color rgb="FF404040"/>
        <rFont val="Times New Roman"/>
        <family val="1"/>
      </rPr>
      <t>2</t>
    </r>
    <r>
      <rPr>
        <sz val="1"/>
        <color rgb="FF404040"/>
        <rFont val="Times New Roman"/>
        <family val="1"/>
      </rPr>
      <t>​</t>
    </r>
    <r>
      <rPr>
        <sz val="13.3"/>
        <color rgb="FF404040"/>
        <rFont val="Times New Roman"/>
        <family val="1"/>
      </rPr>
      <t>+</t>
    </r>
    <r>
      <rPr>
        <sz val="7.7"/>
        <color rgb="FF404040"/>
        <rFont val="Times New Roman"/>
        <family val="1"/>
      </rPr>
      <t>2</t>
    </r>
    <r>
      <rPr>
        <i/>
        <sz val="7.7"/>
        <color rgb="FF404040"/>
        <rFont val="KaTeX_Math"/>
        <family val="2"/>
      </rPr>
      <t>L</t>
    </r>
    <r>
      <rPr>
        <sz val="7.85"/>
        <color rgb="FF404040"/>
        <rFont val="Times New Roman"/>
        <family val="1"/>
      </rPr>
      <t>2</t>
    </r>
    <r>
      <rPr>
        <sz val="1"/>
        <color rgb="FF404040"/>
        <rFont val="Times New Roman"/>
        <family val="1"/>
      </rPr>
      <t>​​</t>
    </r>
    <r>
      <rPr>
        <sz val="13.3"/>
        <color rgb="FF404040"/>
        <rFont val="Cambria Math"/>
        <family val="1"/>
      </rPr>
      <t>≤</t>
    </r>
    <r>
      <rPr>
        <sz val="13.3"/>
        <color rgb="FF404040"/>
        <rFont val="Times New Roman"/>
        <family val="1"/>
      </rPr>
      <t>4000mm</t>
    </r>
    <r>
      <rPr>
        <sz val="12"/>
        <color rgb="FF404040"/>
        <rFont val="微软雅黑"/>
        <family val="2"/>
        <charset val="134"/>
      </rPr>
      <t>。</t>
    </r>
    <phoneticPr fontId="1" type="noConversion"/>
  </si>
  <si>
    <t>组1+组3 或 组2+组4</t>
    <phoneticPr fontId="1" type="noConversion"/>
  </si>
  <si>
    <r>
      <t>1-3</t>
    </r>
    <r>
      <rPr>
        <sz val="12"/>
        <color rgb="FF404040"/>
        <rFont val="等线"/>
        <family val="2"/>
        <charset val="134"/>
      </rPr>
      <t> </t>
    </r>
    <r>
      <rPr>
        <sz val="12"/>
        <color rgb="FF404040"/>
        <rFont val="微软雅黑"/>
        <family val="2"/>
        <charset val="134"/>
      </rPr>
      <t>或</t>
    </r>
    <r>
      <rPr>
        <sz val="12"/>
        <color rgb="FF404040"/>
        <rFont val="等线"/>
        <family val="2"/>
        <charset val="134"/>
      </rPr>
      <t> </t>
    </r>
    <r>
      <rPr>
        <sz val="9.6"/>
        <color rgb="FF404040"/>
        <rFont val="Var(--ds-font-family-code)"/>
        <family val="1"/>
      </rPr>
      <t>2-4</t>
    </r>
    <phoneticPr fontId="1" type="noConversion"/>
  </si>
  <si>
    <r>
      <t>1-2</t>
    </r>
    <r>
      <rPr>
        <sz val="12"/>
        <color rgb="FF404040"/>
        <rFont val="等线"/>
        <family val="2"/>
        <charset val="134"/>
      </rPr>
      <t> </t>
    </r>
    <r>
      <rPr>
        <sz val="12"/>
        <color rgb="FF404040"/>
        <rFont val="微软雅黑"/>
        <family val="2"/>
        <charset val="134"/>
      </rPr>
      <t>或</t>
    </r>
    <r>
      <rPr>
        <sz val="9.6"/>
        <color rgb="FF404040"/>
        <rFont val="Var(--ds-font-family-code)"/>
        <family val="1"/>
      </rPr>
      <t>3-4</t>
    </r>
    <r>
      <rPr>
        <sz val="9.6"/>
        <color rgb="FF404040"/>
        <rFont val="宋体"/>
        <family val="3"/>
        <charset val="134"/>
      </rPr>
      <t>或</t>
    </r>
    <r>
      <rPr>
        <sz val="9.6"/>
        <color rgb="FF404040"/>
        <rFont val="Times New Roman"/>
        <family val="1"/>
      </rPr>
      <t>2-3</t>
    </r>
    <phoneticPr fontId="1" type="noConversion"/>
  </si>
  <si>
    <t>In_bak35</t>
    <phoneticPr fontId="1" type="noConversion"/>
  </si>
  <si>
    <t>In_sigBtmApron_FoldHome</t>
    <phoneticPr fontId="1" type="noConversion"/>
  </si>
  <si>
    <t>Hmi_rArray[107]</t>
    <phoneticPr fontId="1" type="noConversion"/>
  </si>
  <si>
    <t>(*6th    EL2008  *)</t>
    <phoneticPr fontId="1" type="noConversion"/>
  </si>
  <si>
    <t>Out_SuctionCup1Vent</t>
    <phoneticPr fontId="1" type="noConversion"/>
  </si>
  <si>
    <t>Out_SuctionCup2Vent</t>
    <phoneticPr fontId="1" type="noConversion"/>
  </si>
  <si>
    <t>(*上料吸盘1吸气*)</t>
    <phoneticPr fontId="1" type="noConversion"/>
  </si>
  <si>
    <t>(*上料吸盘2放气*)</t>
    <phoneticPr fontId="1" type="noConversion"/>
  </si>
  <si>
    <t>Out_SuctionCup1Suction</t>
    <phoneticPr fontId="1" type="noConversion"/>
  </si>
  <si>
    <t>Out_SuctionCup2Suction</t>
    <phoneticPr fontId="1" type="noConversion"/>
  </si>
  <si>
    <t>(*后定位夹钳气缸夹紧*)</t>
    <phoneticPr fontId="1" type="noConversion"/>
  </si>
  <si>
    <t>(*后定位夹钳气缸夹紧2*)</t>
    <phoneticPr fontId="1" type="noConversion"/>
  </si>
  <si>
    <t>Out_Gripper2</t>
    <phoneticPr fontId="1" type="noConversion"/>
  </si>
  <si>
    <t>Out_bak54</t>
    <phoneticPr fontId="1" type="noConversion"/>
  </si>
  <si>
    <t>Out_bak55</t>
  </si>
  <si>
    <t>Out_bak56</t>
  </si>
  <si>
    <t>Out_bak57</t>
  </si>
  <si>
    <t>(*上料吸盘2吸气*)</t>
    <phoneticPr fontId="1" type="noConversion"/>
  </si>
  <si>
    <t>(*上料吸盘1放气*)</t>
    <phoneticPr fontId="1" type="noConversion"/>
  </si>
  <si>
    <t>(*后定位夹钳气缸夹紧3*)</t>
    <phoneticPr fontId="1" type="noConversion"/>
  </si>
  <si>
    <t>Out_Gripper3</t>
    <phoneticPr fontId="1" type="noConversion"/>
  </si>
  <si>
    <t>Out_bak47</t>
    <phoneticPr fontId="1" type="noConversion"/>
  </si>
  <si>
    <t>半自动 - 推动后连续</t>
    <phoneticPr fontId="1" type="noConversion"/>
  </si>
  <si>
    <t>伺服点动-T4   Jog+</t>
    <phoneticPr fontId="1" type="noConversion"/>
  </si>
  <si>
    <t>伺服点动-T4   Jog-</t>
    <phoneticPr fontId="1" type="noConversion"/>
  </si>
  <si>
    <t>伺服点动-T5   Jog+</t>
    <phoneticPr fontId="1" type="noConversion"/>
  </si>
  <si>
    <t>伺服点动-T5   Jog-</t>
    <phoneticPr fontId="1" type="noConversion"/>
  </si>
  <si>
    <t>伺服点动-T6   Jog+</t>
    <phoneticPr fontId="1" type="noConversion"/>
  </si>
  <si>
    <t>伺服点动-T6   Jog-</t>
    <phoneticPr fontId="1" type="noConversion"/>
  </si>
  <si>
    <t>伺服点动-T7   Jog+</t>
    <phoneticPr fontId="1" type="noConversion"/>
  </si>
  <si>
    <t>伺服点动-T7   Jog-</t>
    <phoneticPr fontId="1" type="noConversion"/>
  </si>
  <si>
    <t>伺服点动-T8   Jog+</t>
    <phoneticPr fontId="1" type="noConversion"/>
  </si>
  <si>
    <t>伺服点动-T8   Jog-</t>
    <phoneticPr fontId="1" type="noConversion"/>
  </si>
  <si>
    <t>伺服点动-T9   Jog+</t>
    <phoneticPr fontId="1" type="noConversion"/>
  </si>
  <si>
    <t>伺服点动-T9   Jog-</t>
    <phoneticPr fontId="1" type="noConversion"/>
  </si>
  <si>
    <t>Hmi_bArray[124]</t>
  </si>
  <si>
    <t>Hmi_bArray[125]</t>
  </si>
  <si>
    <t>Hmi_bArray[126]</t>
  </si>
  <si>
    <t>Hmi_bArray[127]</t>
  </si>
  <si>
    <t>Hmi_bArray[128]</t>
  </si>
  <si>
    <t>Hmi_bArray[129]</t>
  </si>
  <si>
    <t>Hmi_bArray[130]</t>
  </si>
  <si>
    <t>Hmi_bArray[131]</t>
  </si>
  <si>
    <t>全局 - T1伺服位置</t>
    <phoneticPr fontId="1" type="noConversion"/>
  </si>
  <si>
    <t>全局 - T2伺服位置</t>
    <phoneticPr fontId="1" type="noConversion"/>
  </si>
  <si>
    <t>全局 - T7伺服位置</t>
  </si>
  <si>
    <t>全局 - T8伺服位置</t>
  </si>
  <si>
    <t>全局 - T9伺服位置</t>
  </si>
  <si>
    <t>全局 - T3伺服位置</t>
    <phoneticPr fontId="1" type="noConversion"/>
  </si>
  <si>
    <t>全局 - T4伺服位置</t>
    <phoneticPr fontId="1" type="noConversion"/>
  </si>
  <si>
    <t>全局 - T5伺服位置</t>
    <phoneticPr fontId="1" type="noConversion"/>
  </si>
  <si>
    <t>全局 - T6伺服位置</t>
    <phoneticPr fontId="1" type="noConversion"/>
  </si>
  <si>
    <t>T2后挡块原位</t>
    <phoneticPr fontId="1" type="noConversion"/>
  </si>
  <si>
    <t>T3后挡块原位</t>
    <phoneticPr fontId="1" type="noConversion"/>
  </si>
  <si>
    <t>T4后挡块原位</t>
    <phoneticPr fontId="1" type="noConversion"/>
  </si>
  <si>
    <t>T5后挡块原位</t>
  </si>
  <si>
    <t>T6后挡块原位</t>
  </si>
  <si>
    <t>T7后挡块原位</t>
  </si>
  <si>
    <t>T8后挡块原位</t>
  </si>
  <si>
    <t>T9后挡块原位</t>
  </si>
  <si>
    <t>半自动 -  s2-定位位置</t>
  </si>
  <si>
    <t>半自动 -  s3-定位位置</t>
  </si>
  <si>
    <t>半自动 -  s4-定位位置</t>
    <phoneticPr fontId="1" type="noConversion"/>
  </si>
  <si>
    <t>半自动 -  s1-吸盘组数</t>
    <phoneticPr fontId="1" type="noConversion"/>
  </si>
  <si>
    <t>手动强制-拉刀前进</t>
    <phoneticPr fontId="1" type="noConversion"/>
  </si>
  <si>
    <t>手动强制-拉刀后退</t>
    <phoneticPr fontId="1" type="noConversion"/>
  </si>
  <si>
    <t>In_sigSlitLmt0</t>
    <phoneticPr fontId="1" type="noConversion"/>
  </si>
  <si>
    <t>全局 - 当前工作模式（0-NULL 1-自动 2-维护 3-手动 4-半自动 5-分条  6-自动 7-进料）</t>
    <phoneticPr fontId="1" type="noConversion"/>
  </si>
  <si>
    <t>全局设定 - 工作模式（0-NULL 1-自动 2-维护 3-手动 4-半自动 5-分条 6-自动 7-进料）</t>
    <phoneticPr fontId="1" type="noConversion"/>
  </si>
  <si>
    <t>[GlobalSwitch]</t>
  </si>
  <si>
    <t>swLightHeavy 1.00</t>
  </si>
  <si>
    <t>swSimplexDuplex 0.00</t>
  </si>
  <si>
    <t>SlitterVelocity 0.00</t>
  </si>
  <si>
    <t>LoadingTable 0.00</t>
  </si>
  <si>
    <t>AngleDisplay 1.00</t>
  </si>
  <si>
    <t>ClampOpen_InManual 0.00</t>
  </si>
  <si>
    <t>ClampOpen_InAuto 0.00</t>
  </si>
  <si>
    <t>Language 0.00</t>
  </si>
  <si>
    <t>MachineType 400.00</t>
  </si>
  <si>
    <t>AutoFeed 0.00</t>
  </si>
  <si>
    <t>----------------------------------------</t>
  </si>
  <si>
    <t>[ClampHeight]</t>
  </si>
  <si>
    <t>HeightLow 5.00</t>
  </si>
  <si>
    <t>HeightMiddle 40.00</t>
  </si>
  <si>
    <t>HeightHigh 200.00</t>
  </si>
  <si>
    <t>HeightMax 250.00</t>
  </si>
  <si>
    <t>HeightHalf 25.00</t>
  </si>
  <si>
    <t>SquashClampHeight 0.00</t>
  </si>
  <si>
    <t>LastUnClampHeight 0.00</t>
  </si>
  <si>
    <t>[BackgaugeApron]</t>
  </si>
  <si>
    <t>BackgaugeMaxPos 1220.00</t>
  </si>
  <si>
    <t>BackgaugeMinPos 10.00</t>
  </si>
  <si>
    <t>SlitOffset 50.00</t>
  </si>
  <si>
    <t>BtmApronZeroPosition 0.00</t>
  </si>
  <si>
    <t>TopApronZeroPosition 3.00</t>
  </si>
  <si>
    <t>Downside Squash Backstop 8.00</t>
  </si>
  <si>
    <t>Upside Squash Backstop 4.00</t>
  </si>
  <si>
    <t>External Squash Backstop 0.00</t>
  </si>
  <si>
    <t>Open Downside Squash Backstop 0.00</t>
  </si>
  <si>
    <t>Open Upside Squash Backstop 0.00</t>
  </si>
  <si>
    <t>T1 Backstop Zero 1220.00</t>
  </si>
  <si>
    <t>T2 Backstop Zero 1220.00</t>
  </si>
  <si>
    <t>T3 Backstop Zero 1220.00</t>
  </si>
  <si>
    <t>T4 Backstop Zero 1220.00</t>
  </si>
  <si>
    <t>T5 Backstop Zero 1220.00</t>
  </si>
  <si>
    <t>T6 Backstop Zero 1220.00</t>
  </si>
  <si>
    <t>T7 Backstop Zero 1220.00</t>
  </si>
  <si>
    <t>T8 Backstop Zero 1220.00</t>
  </si>
  <si>
    <t>T9 Backstop Zero 0.00</t>
  </si>
  <si>
    <t>[PresetLengths]</t>
  </si>
  <si>
    <t>[PresetAngles]</t>
  </si>
  <si>
    <t>[MachineSetup]</t>
  </si>
  <si>
    <t>FocusTimeout 15.0</t>
  </si>
  <si>
    <t>MessageTimeout 15.0</t>
  </si>
  <si>
    <t>SquashFoldAngle 140.0</t>
  </si>
  <si>
    <t>PLC Angle map entries 15</t>
  </si>
  <si>
    <t>MaximumClampHightLimit 400.0</t>
  </si>
  <si>
    <t>MaximumFoldAngle 145.00</t>
  </si>
  <si>
    <t>Full pressure 150</t>
  </si>
  <si>
    <t>Maximum operators 4</t>
  </si>
  <si>
    <t>SquashHoldAdjust 25.00</t>
  </si>
  <si>
    <t>[ManualOldSelect]</t>
  </si>
  <si>
    <t>FoldMode 1.00</t>
  </si>
  <si>
    <t>PosDatumPoint 1.00</t>
  </si>
  <si>
    <t>SetFoldAngle 85.00</t>
  </si>
  <si>
    <t>SetMoveBackgauge 1000.00</t>
  </si>
  <si>
    <t>SetTopApronSlide 200.00</t>
  </si>
  <si>
    <t>SetBtmApronSlide 600.00</t>
  </si>
  <si>
    <t>SetLoadingTable 0.00</t>
  </si>
  <si>
    <t>SemiAutoProd_id 0.00</t>
  </si>
  <si>
    <t>AngleAdditSel_id 2.00</t>
  </si>
  <si>
    <t>SpringTop 3.00</t>
  </si>
  <si>
    <t>SpringBtm 4.00</t>
  </si>
  <si>
    <t>SetLoadingFeed 0.00</t>
  </si>
  <si>
    <t>[AutoFeedPara]</t>
  </si>
  <si>
    <t>OffsetToT1 0.00</t>
  </si>
  <si>
    <t>SuckerPos 0.00</t>
  </si>
  <si>
    <t>OffsetToHead 0.00</t>
  </si>
  <si>
    <t>[OtherConfig]</t>
  </si>
  <si>
    <t>LastSemiAutoOrder # wang0812</t>
  </si>
  <si>
    <t>LastSelDir # C:\Jing Gong Flashings\Ku</t>
  </si>
  <si>
    <t>进料 -  s1-长度</t>
  </si>
  <si>
    <t>进料 -  s1-宽度</t>
  </si>
  <si>
    <t>进料 -  s1-厚度</t>
  </si>
  <si>
    <t>进料 -  s1-数量</t>
  </si>
  <si>
    <t>进料 -  s1-组数</t>
  </si>
  <si>
    <t>进料 -  s1-总数</t>
  </si>
  <si>
    <t>进料 -  s1-定位位置</t>
  </si>
  <si>
    <t>进料 -  s2-定位位置</t>
  </si>
  <si>
    <t>进料 -  s3-定位位置</t>
  </si>
  <si>
    <t>进料 -  s4-定位位置</t>
  </si>
  <si>
    <t>Hmi_iArray[90]</t>
    <phoneticPr fontId="1" type="noConversion"/>
  </si>
  <si>
    <t>Hmi_iArray[99]</t>
    <phoneticPr fontId="1" type="noConversion"/>
  </si>
  <si>
    <t>进料 -  钳口取料高度</t>
    <phoneticPr fontId="1" type="noConversion"/>
  </si>
  <si>
    <t>手动强制-后挡块·</t>
    <phoneticPr fontId="1" type="noConversion"/>
  </si>
  <si>
    <t>Hmi_bArray[6]</t>
    <phoneticPr fontId="1" type="noConversion"/>
  </si>
  <si>
    <t>手动 - 翻转吸盘吸板</t>
    <phoneticPr fontId="1" type="noConversion"/>
  </si>
  <si>
    <t>半自动 - 自动翻板</t>
    <phoneticPr fontId="1" type="noConversion"/>
  </si>
  <si>
    <t>Q5.0</t>
  </si>
  <si>
    <t>Q5.1</t>
  </si>
  <si>
    <t>Q5.2</t>
  </si>
  <si>
    <t>Q5.3</t>
  </si>
  <si>
    <t>Q5.4</t>
  </si>
  <si>
    <t>Q5.5</t>
  </si>
  <si>
    <t>Q5.6</t>
  </si>
  <si>
    <t>Q5.7</t>
  </si>
  <si>
    <r>
      <t xml:space="preserve">全局设定 - </t>
    </r>
    <r>
      <rPr>
        <sz val="11"/>
        <color rgb="FFFF0000"/>
        <rFont val="等线"/>
        <family val="3"/>
        <charset val="134"/>
        <scheme val="minor"/>
      </rPr>
      <t>自动翻转</t>
    </r>
    <phoneticPr fontId="1" type="noConversion"/>
  </si>
  <si>
    <t>1st EL4024</t>
    <phoneticPr fontId="1" type="noConversion"/>
  </si>
  <si>
    <t>2st EL4024</t>
    <phoneticPr fontId="1" type="noConversion"/>
  </si>
  <si>
    <t>上翻板滑动</t>
  </si>
  <si>
    <t>上翻板折弯</t>
  </si>
  <si>
    <t>下翻板滑动</t>
  </si>
  <si>
    <t>AQ4</t>
    <phoneticPr fontId="1" type="noConversion"/>
  </si>
  <si>
    <t>AQ5</t>
    <phoneticPr fontId="1" type="noConversion"/>
  </si>
  <si>
    <t>AQ6</t>
    <phoneticPr fontId="1" type="noConversion"/>
  </si>
  <si>
    <t>AQ7</t>
    <phoneticPr fontId="1" type="noConversion"/>
  </si>
  <si>
    <t>AQ8</t>
  </si>
  <si>
    <t>AQ9</t>
  </si>
  <si>
    <t>AQ10</t>
  </si>
  <si>
    <t>AQ11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</si>
</sst>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8"/>
      <color theme="1"/>
      <name val="等线"/>
      <family val="2"/>
      <scheme val="minor"/>
    </font>
    <font>
      <sz val="8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name val="等线"/>
      <family val="3"/>
      <charset val="134"/>
      <scheme val="minor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12"/>
      <name val="宋体"/>
      <family val="3"/>
      <charset val="134"/>
    </font>
    <font>
      <b/>
      <sz val="11"/>
      <color rgb="FF0000FF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14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2"/>
      <color theme="1"/>
      <name val="等线"/>
      <family val="3"/>
      <charset val="134"/>
      <scheme val="minor"/>
    </font>
    <font>
      <b/>
      <sz val="8"/>
      <color theme="1"/>
      <name val="等线"/>
      <family val="3"/>
      <charset val="134"/>
      <scheme val="minor"/>
    </font>
    <font>
      <b/>
      <sz val="12"/>
      <color rgb="FF404040"/>
      <name val="Segoe UI"/>
      <family val="2"/>
    </font>
    <font>
      <sz val="12"/>
      <color rgb="FF404040"/>
      <name val="Segoe UI"/>
      <family val="2"/>
    </font>
    <font>
      <sz val="9.6"/>
      <color rgb="FF404040"/>
      <name val="Var(--ds-font-family-code)"/>
      <family val="1"/>
    </font>
    <font>
      <sz val="9.6"/>
      <color rgb="FF404040"/>
      <name val="宋体"/>
      <family val="3"/>
      <charset val="134"/>
    </font>
    <font>
      <sz val="12"/>
      <color rgb="FF404040"/>
      <name val="微软雅黑"/>
      <family val="2"/>
      <charset val="134"/>
    </font>
    <font>
      <sz val="12"/>
      <color rgb="FF404040"/>
      <name val="宋体"/>
      <family val="2"/>
      <charset val="134"/>
    </font>
    <font>
      <sz val="12"/>
      <color rgb="FF404040"/>
      <name val="Segoe UI"/>
      <family val="2"/>
      <charset val="134"/>
    </font>
    <font>
      <sz val="9.6"/>
      <color rgb="FF404040"/>
      <name val="Times New Roman"/>
      <family val="1"/>
    </font>
    <font>
      <sz val="11"/>
      <color rgb="FF8B8B8B"/>
      <name val="Segoe UI"/>
      <family val="2"/>
    </font>
    <font>
      <sz val="11"/>
      <color rgb="FF8B8B8B"/>
      <name val="微软雅黑"/>
      <family val="2"/>
      <charset val="134"/>
    </font>
    <font>
      <sz val="11"/>
      <color rgb="FF8B8B8B"/>
      <name val="宋体"/>
      <family val="2"/>
      <charset val="134"/>
    </font>
    <font>
      <sz val="11"/>
      <color rgb="FF8B8B8B"/>
      <name val="Segoe UI"/>
      <family val="2"/>
      <charset val="134"/>
    </font>
    <font>
      <sz val="13.3"/>
      <color rgb="FF404040"/>
      <name val="Times New Roman"/>
      <family val="1"/>
    </font>
    <font>
      <i/>
      <sz val="13.3"/>
      <color rgb="FF404040"/>
      <name val="KaTeX_Math"/>
      <family val="2"/>
    </font>
    <font>
      <sz val="13.3"/>
      <color rgb="FF404040"/>
      <name val="宋体"/>
      <family val="3"/>
      <charset val="134"/>
    </font>
    <font>
      <sz val="13.3"/>
      <color rgb="FF404040"/>
      <name val="Cambria Math"/>
      <family val="1"/>
    </font>
    <font>
      <sz val="7.7"/>
      <color rgb="FF404040"/>
      <name val="Times New Roman"/>
      <family val="1"/>
    </font>
    <font>
      <sz val="1"/>
      <color rgb="FF404040"/>
      <name val="Times New Roman"/>
      <family val="1"/>
    </font>
    <font>
      <i/>
      <sz val="7.7"/>
      <color rgb="FF404040"/>
      <name val="KaTeX_Math"/>
      <family val="2"/>
    </font>
    <font>
      <sz val="7.85"/>
      <color rgb="FF404040"/>
      <name val="Times New Roman"/>
      <family val="1"/>
    </font>
    <font>
      <sz val="12"/>
      <color rgb="FF404040"/>
      <name val="等线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636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indexed="64"/>
      </right>
      <top style="thin">
        <color rgb="FFFF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3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3" fillId="0" borderId="0" xfId="0" applyFont="1"/>
    <xf numFmtId="0" fontId="2" fillId="0" borderId="0" xfId="0" applyFont="1" applyAlignment="1">
      <alignment vertical="center"/>
    </xf>
    <xf numFmtId="0" fontId="0" fillId="5" borderId="0" xfId="0" applyFill="1"/>
    <xf numFmtId="0" fontId="0" fillId="3" borderId="0" xfId="0" applyFill="1"/>
    <xf numFmtId="0" fontId="0" fillId="6" borderId="1" xfId="0" applyFill="1" applyBorder="1"/>
    <xf numFmtId="0" fontId="0" fillId="6" borderId="0" xfId="0" applyFill="1"/>
    <xf numFmtId="0" fontId="7" fillId="7" borderId="1" xfId="0" applyFont="1" applyFill="1" applyBorder="1"/>
    <xf numFmtId="0" fontId="0" fillId="7" borderId="0" xfId="0" applyFill="1"/>
    <xf numFmtId="0" fontId="8" fillId="8" borderId="1" xfId="0" applyFont="1" applyFill="1" applyBorder="1" applyAlignment="1">
      <alignment horizontal="center"/>
    </xf>
    <xf numFmtId="0" fontId="10" fillId="0" borderId="1" xfId="0" applyFont="1" applyBorder="1"/>
    <xf numFmtId="0" fontId="11" fillId="0" borderId="1" xfId="0" quotePrefix="1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1" xfId="0" quotePrefix="1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4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9" borderId="3" xfId="0" applyFill="1" applyBorder="1" applyAlignment="1">
      <alignment vertical="top"/>
    </xf>
    <xf numFmtId="0" fontId="9" fillId="0" borderId="3" xfId="0" applyFont="1" applyBorder="1"/>
    <xf numFmtId="0" fontId="9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6" fillId="0" borderId="1" xfId="0" applyFont="1" applyBorder="1"/>
    <xf numFmtId="0" fontId="3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0" fillId="0" borderId="4" xfId="0" applyFont="1" applyBorder="1"/>
    <xf numFmtId="0" fontId="7" fillId="0" borderId="1" xfId="0" applyFont="1" applyBorder="1"/>
    <xf numFmtId="0" fontId="0" fillId="0" borderId="4" xfId="0" applyBorder="1"/>
    <xf numFmtId="0" fontId="18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/>
    <xf numFmtId="0" fontId="14" fillId="10" borderId="1" xfId="0" applyFont="1" applyFill="1" applyBorder="1" applyAlignment="1">
      <alignment vertical="center"/>
    </xf>
    <xf numFmtId="49" fontId="20" fillId="8" borderId="1" xfId="0" applyNumberFormat="1" applyFont="1" applyFill="1" applyBorder="1" applyAlignment="1">
      <alignment horizontal="center"/>
    </xf>
    <xf numFmtId="49" fontId="21" fillId="10" borderId="1" xfId="0" applyNumberFormat="1" applyFont="1" applyFill="1" applyBorder="1"/>
    <xf numFmtId="49" fontId="21" fillId="11" borderId="1" xfId="0" applyNumberFormat="1" applyFont="1" applyFill="1" applyBorder="1"/>
    <xf numFmtId="49" fontId="21" fillId="0" borderId="1" xfId="0" applyNumberFormat="1" applyFont="1" applyBorder="1" applyAlignment="1">
      <alignment horizontal="center" vertical="top"/>
    </xf>
    <xf numFmtId="0" fontId="21" fillId="0" borderId="1" xfId="0" applyFont="1" applyBorder="1"/>
    <xf numFmtId="49" fontId="21" fillId="0" borderId="1" xfId="0" applyNumberFormat="1" applyFont="1" applyBorder="1" applyAlignment="1">
      <alignment horizontal="center"/>
    </xf>
    <xf numFmtId="49" fontId="21" fillId="0" borderId="1" xfId="0" applyNumberFormat="1" applyFont="1" applyBorder="1"/>
    <xf numFmtId="49" fontId="21" fillId="0" borderId="1" xfId="0" quotePrefix="1" applyNumberFormat="1" applyFont="1" applyBorder="1" applyAlignment="1">
      <alignment horizontal="center"/>
    </xf>
    <xf numFmtId="0" fontId="0" fillId="10" borderId="1" xfId="0" applyFill="1" applyBorder="1" applyAlignment="1">
      <alignment vertical="center"/>
    </xf>
    <xf numFmtId="49" fontId="21" fillId="11" borderId="1" xfId="0" applyNumberFormat="1" applyFont="1" applyFill="1" applyBorder="1" applyAlignment="1">
      <alignment wrapText="1"/>
    </xf>
    <xf numFmtId="49" fontId="22" fillId="10" borderId="1" xfId="0" applyNumberFormat="1" applyFont="1" applyFill="1" applyBorder="1"/>
    <xf numFmtId="49" fontId="22" fillId="11" borderId="1" xfId="0" applyNumberFormat="1" applyFont="1" applyFill="1" applyBorder="1"/>
    <xf numFmtId="58" fontId="0" fillId="0" borderId="0" xfId="0" applyNumberFormat="1"/>
    <xf numFmtId="0" fontId="23" fillId="0" borderId="0" xfId="0" applyFont="1" applyAlignment="1">
      <alignment horizontal="center"/>
    </xf>
    <xf numFmtId="0" fontId="7" fillId="12" borderId="1" xfId="0" applyFont="1" applyFill="1" applyBorder="1"/>
    <xf numFmtId="0" fontId="7" fillId="2" borderId="1" xfId="0" applyFont="1" applyFill="1" applyBorder="1"/>
    <xf numFmtId="0" fontId="7" fillId="13" borderId="1" xfId="0" applyFont="1" applyFill="1" applyBorder="1"/>
    <xf numFmtId="0" fontId="0" fillId="13" borderId="4" xfId="0" applyFill="1" applyBorder="1"/>
    <xf numFmtId="0" fontId="5" fillId="0" borderId="0" xfId="0" applyFont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0" fontId="5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0" fontId="0" fillId="0" borderId="0" xfId="0" applyAlignment="1">
      <alignment horizontal="center" vertical="center" textRotation="255"/>
    </xf>
    <xf numFmtId="0" fontId="0" fillId="0" borderId="1" xfId="0" applyBorder="1" applyAlignment="1">
      <alignment horizontal="center" vertical="center"/>
    </xf>
    <xf numFmtId="0" fontId="0" fillId="3" borderId="4" xfId="0" applyFill="1" applyBorder="1"/>
    <xf numFmtId="0" fontId="10" fillId="0" borderId="5" xfId="0" applyFont="1" applyBorder="1"/>
    <xf numFmtId="0" fontId="13" fillId="0" borderId="3" xfId="0" quotePrefix="1" applyFont="1" applyBorder="1" applyAlignment="1">
      <alignment horizontal="center"/>
    </xf>
    <xf numFmtId="0" fontId="0" fillId="0" borderId="3" xfId="0" applyBorder="1"/>
    <xf numFmtId="0" fontId="11" fillId="0" borderId="2" xfId="0" quotePrefix="1" applyFont="1" applyBorder="1" applyAlignment="1">
      <alignment horizontal="center"/>
    </xf>
    <xf numFmtId="0" fontId="0" fillId="0" borderId="2" xfId="0" applyBorder="1"/>
    <xf numFmtId="0" fontId="13" fillId="0" borderId="2" xfId="0" quotePrefix="1" applyFont="1" applyBorder="1" applyAlignment="1">
      <alignment horizontal="center"/>
    </xf>
    <xf numFmtId="0" fontId="13" fillId="0" borderId="8" xfId="0" quotePrefix="1" applyFont="1" applyBorder="1" applyAlignment="1">
      <alignment horizontal="center"/>
    </xf>
    <xf numFmtId="0" fontId="13" fillId="0" borderId="10" xfId="0" quotePrefix="1" applyFont="1" applyBorder="1" applyAlignment="1">
      <alignment horizontal="center"/>
    </xf>
    <xf numFmtId="0" fontId="13" fillId="0" borderId="12" xfId="0" quotePrefix="1" applyFont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0" fontId="10" fillId="0" borderId="8" xfId="0" applyFont="1" applyBorder="1"/>
    <xf numFmtId="0" fontId="13" fillId="0" borderId="14" xfId="0" quotePrefix="1" applyFont="1" applyBorder="1" applyAlignment="1">
      <alignment horizontal="center"/>
    </xf>
    <xf numFmtId="0" fontId="10" fillId="0" borderId="12" xfId="0" applyFont="1" applyBorder="1"/>
    <xf numFmtId="0" fontId="13" fillId="0" borderId="6" xfId="0" quotePrefix="1" applyFont="1" applyBorder="1" applyAlignment="1">
      <alignment horizontal="center"/>
    </xf>
    <xf numFmtId="0" fontId="10" fillId="0" borderId="2" xfId="0" applyFont="1" applyBorder="1"/>
    <xf numFmtId="0" fontId="8" fillId="8" borderId="3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0" fontId="9" fillId="0" borderId="14" xfId="0" applyFont="1" applyBorder="1"/>
    <xf numFmtId="0" fontId="10" fillId="8" borderId="10" xfId="0" applyFont="1" applyFill="1" applyBorder="1" applyAlignment="1">
      <alignment horizontal="center"/>
    </xf>
    <xf numFmtId="0" fontId="10" fillId="8" borderId="12" xfId="0" applyFont="1" applyFill="1" applyBorder="1" applyAlignment="1">
      <alignment horizontal="center"/>
    </xf>
    <xf numFmtId="0" fontId="9" fillId="0" borderId="6" xfId="0" applyFont="1" applyBorder="1"/>
    <xf numFmtId="0" fontId="9" fillId="0" borderId="5" xfId="0" applyFont="1" applyBorder="1"/>
    <xf numFmtId="0" fontId="11" fillId="0" borderId="5" xfId="0" quotePrefix="1" applyFont="1" applyBorder="1" applyAlignment="1">
      <alignment horizontal="center"/>
    </xf>
    <xf numFmtId="0" fontId="13" fillId="0" borderId="18" xfId="0" quotePrefix="1" applyFont="1" applyBorder="1" applyAlignment="1">
      <alignment horizontal="center"/>
    </xf>
    <xf numFmtId="0" fontId="0" fillId="0" borderId="19" xfId="0" applyBorder="1"/>
    <xf numFmtId="0" fontId="0" fillId="15" borderId="1" xfId="0" applyFill="1" applyBorder="1"/>
    <xf numFmtId="0" fontId="0" fillId="15" borderId="9" xfId="0" applyFill="1" applyBorder="1"/>
    <xf numFmtId="0" fontId="0" fillId="15" borderId="11" xfId="0" applyFill="1" applyBorder="1"/>
    <xf numFmtId="0" fontId="0" fillId="15" borderId="13" xfId="0" applyFill="1" applyBorder="1"/>
    <xf numFmtId="0" fontId="0" fillId="15" borderId="15" xfId="0" applyFill="1" applyBorder="1"/>
    <xf numFmtId="0" fontId="0" fillId="15" borderId="16" xfId="0" applyFill="1" applyBorder="1"/>
    <xf numFmtId="0" fontId="0" fillId="15" borderId="7" xfId="0" applyFill="1" applyBorder="1"/>
    <xf numFmtId="0" fontId="0" fillId="15" borderId="3" xfId="0" applyFill="1" applyBorder="1"/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 wrapText="1"/>
    </xf>
    <xf numFmtId="0" fontId="0" fillId="0" borderId="1" xfId="0" applyBorder="1" applyAlignment="1">
      <alignment horizontal="left" wrapText="1"/>
    </xf>
    <xf numFmtId="0" fontId="2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5" fillId="0" borderId="1" xfId="0" applyFont="1" applyBorder="1" applyAlignment="1">
      <alignment horizontal="left" wrapText="1"/>
    </xf>
    <xf numFmtId="0" fontId="0" fillId="15" borderId="17" xfId="0" applyFill="1" applyBorder="1"/>
    <xf numFmtId="0" fontId="13" fillId="11" borderId="1" xfId="0" quotePrefix="1" applyFont="1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14" fillId="4" borderId="0" xfId="0" applyFont="1" applyFill="1" applyAlignment="1">
      <alignment horizontal="center"/>
    </xf>
    <xf numFmtId="0" fontId="14" fillId="4" borderId="1" xfId="0" applyFont="1" applyFill="1" applyBorder="1" applyAlignment="1">
      <alignment horizontal="center"/>
    </xf>
    <xf numFmtId="49" fontId="20" fillId="11" borderId="1" xfId="0" applyNumberFormat="1" applyFont="1" applyFill="1" applyBorder="1" applyAlignment="1">
      <alignment horizontal="center"/>
    </xf>
    <xf numFmtId="49" fontId="21" fillId="0" borderId="3" xfId="0" applyNumberFormat="1" applyFont="1" applyBorder="1" applyAlignment="1">
      <alignment horizontal="left" vertical="center"/>
    </xf>
    <xf numFmtId="49" fontId="21" fillId="0" borderId="4" xfId="0" applyNumberFormat="1" applyFont="1" applyBorder="1" applyAlignment="1">
      <alignment horizontal="left" vertical="center"/>
    </xf>
    <xf numFmtId="49" fontId="21" fillId="0" borderId="2" xfId="0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 textRotation="255"/>
    </xf>
    <xf numFmtId="0" fontId="36" fillId="0" borderId="20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CC"/>
      <color rgb="FFC563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314325</xdr:colOff>
      <xdr:row>0</xdr:row>
      <xdr:rowOff>152400</xdr:rowOff>
    </xdr:from>
    <xdr:to>
      <xdr:col>15</xdr:col>
      <xdr:colOff>681872</xdr:colOff>
      <xdr:row>8</xdr:row>
      <xdr:rowOff>28575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35C04D7-3E96-028A-1A07-DC47739BA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6475" y="152400"/>
          <a:ext cx="4482347" cy="1343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19</xdr:row>
      <xdr:rowOff>28574</xdr:rowOff>
    </xdr:from>
    <xdr:to>
      <xdr:col>14</xdr:col>
      <xdr:colOff>180975</xdr:colOff>
      <xdr:row>34</xdr:row>
      <xdr:rowOff>127148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934B27B-EC1E-5A98-58D4-8653A1094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0525" y="3467099"/>
          <a:ext cx="2676525" cy="2813199"/>
        </a:xfrm>
        <a:prstGeom prst="rect">
          <a:avLst/>
        </a:prstGeom>
      </xdr:spPr>
    </xdr:pic>
    <xdr:clientData/>
  </xdr:twoCellAnchor>
  <xdr:twoCellAnchor editAs="oneCell">
    <xdr:from>
      <xdr:col>14</xdr:col>
      <xdr:colOff>247650</xdr:colOff>
      <xdr:row>18</xdr:row>
      <xdr:rowOff>171450</xdr:rowOff>
    </xdr:from>
    <xdr:to>
      <xdr:col>18</xdr:col>
      <xdr:colOff>448684</xdr:colOff>
      <xdr:row>34</xdr:row>
      <xdr:rowOff>38100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B98B823-9B38-39C7-E268-AFFFFEA00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53725" y="3429000"/>
          <a:ext cx="2944234" cy="2762250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1809749</xdr:colOff>
      <xdr:row>19</xdr:row>
      <xdr:rowOff>111596</xdr:rowOff>
    </xdr:from>
    <xdr:to>
      <xdr:col>8</xdr:col>
      <xdr:colOff>702807</xdr:colOff>
      <xdr:row>34</xdr:row>
      <xdr:rowOff>76201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CF73B87-DD34-639E-71FE-3B2190EFA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38699" y="3550121"/>
          <a:ext cx="3084058" cy="2679230"/>
        </a:xfrm>
        <a:prstGeom prst="rect">
          <a:avLst/>
        </a:prstGeom>
      </xdr:spPr>
    </xdr:pic>
    <xdr:clientData/>
  </xdr:twoCellAnchor>
  <xdr:twoCellAnchor editAs="oneCell">
    <xdr:from>
      <xdr:col>0</xdr:col>
      <xdr:colOff>657226</xdr:colOff>
      <xdr:row>19</xdr:row>
      <xdr:rowOff>114299</xdr:rowOff>
    </xdr:from>
    <xdr:to>
      <xdr:col>4</xdr:col>
      <xdr:colOff>1642628</xdr:colOff>
      <xdr:row>33</xdr:row>
      <xdr:rowOff>180974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601AB29-5DF7-BC43-1BE3-68D286E90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226" y="3552824"/>
          <a:ext cx="4014352" cy="2600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7"/>
  <sheetViews>
    <sheetView tabSelected="1" zoomScale="115" zoomScaleNormal="115" workbookViewId="0">
      <selection activeCell="L26" sqref="L26"/>
    </sheetView>
  </sheetViews>
  <sheetFormatPr defaultRowHeight="14.25"/>
  <cols>
    <col min="1" max="1" width="34.5" customWidth="1"/>
    <col min="2" max="2" width="4" customWidth="1"/>
    <col min="3" max="3" width="27.125" customWidth="1"/>
    <col min="4" max="4" width="3.5" customWidth="1"/>
    <col min="5" max="5" width="20" customWidth="1"/>
    <col min="6" max="6" width="6.75" customWidth="1"/>
    <col min="7" max="7" width="31.125" customWidth="1"/>
    <col min="8" max="8" width="3" customWidth="1"/>
    <col min="9" max="9" width="2.875" customWidth="1"/>
    <col min="10" max="10" width="21.25" customWidth="1"/>
    <col min="11" max="11" width="5.25" bestFit="1" customWidth="1"/>
    <col min="12" max="12" width="32.75" customWidth="1"/>
    <col min="13" max="13" width="9.75" customWidth="1"/>
  </cols>
  <sheetData>
    <row r="1" spans="1:13" ht="24" customHeight="1">
      <c r="A1" s="131" t="s">
        <v>122</v>
      </c>
      <c r="B1" s="131"/>
      <c r="C1" s="131"/>
      <c r="D1" s="7"/>
      <c r="E1" s="131" t="s">
        <v>123</v>
      </c>
      <c r="F1" s="131"/>
      <c r="G1" s="131"/>
      <c r="H1" s="11"/>
      <c r="I1" s="11"/>
      <c r="J1" s="131" t="s">
        <v>124</v>
      </c>
      <c r="K1" s="131"/>
      <c r="L1" s="131"/>
    </row>
    <row r="2" spans="1:13">
      <c r="A2" s="5" t="s">
        <v>463</v>
      </c>
      <c r="B2" s="5" t="s">
        <v>2</v>
      </c>
      <c r="C2" s="5" t="s">
        <v>200</v>
      </c>
      <c r="E2" s="6" t="s">
        <v>1229</v>
      </c>
      <c r="F2" s="6" t="s">
        <v>66</v>
      </c>
      <c r="G2" s="6" t="s">
        <v>192</v>
      </c>
      <c r="H2" s="12"/>
      <c r="J2" s="1" t="s">
        <v>166</v>
      </c>
      <c r="K2" s="1" t="s">
        <v>116</v>
      </c>
      <c r="L2" s="1" t="s">
        <v>136</v>
      </c>
      <c r="M2" s="130" t="s">
        <v>787</v>
      </c>
    </row>
    <row r="3" spans="1:13">
      <c r="A3" s="5" t="s">
        <v>1228</v>
      </c>
      <c r="B3" s="5" t="s">
        <v>3</v>
      </c>
      <c r="C3" s="5" t="s">
        <v>201</v>
      </c>
      <c r="E3" s="6" t="s">
        <v>1230</v>
      </c>
      <c r="F3" s="6" t="s">
        <v>67</v>
      </c>
      <c r="G3" s="6" t="s">
        <v>196</v>
      </c>
      <c r="J3" s="1" t="s">
        <v>167</v>
      </c>
      <c r="K3" s="1" t="s">
        <v>117</v>
      </c>
      <c r="L3" s="1" t="s">
        <v>137</v>
      </c>
      <c r="M3" s="130"/>
    </row>
    <row r="4" spans="1:13">
      <c r="A4" s="5" t="s">
        <v>465</v>
      </c>
      <c r="B4" s="5" t="s">
        <v>4</v>
      </c>
      <c r="C4" s="5" t="s">
        <v>202</v>
      </c>
      <c r="E4" s="14" t="s">
        <v>160</v>
      </c>
      <c r="F4" s="14" t="s">
        <v>68</v>
      </c>
      <c r="G4" s="14" t="s">
        <v>193</v>
      </c>
      <c r="H4" s="15"/>
      <c r="J4" s="1" t="s">
        <v>168</v>
      </c>
      <c r="K4" s="1" t="s">
        <v>118</v>
      </c>
      <c r="L4" s="1" t="s">
        <v>135</v>
      </c>
      <c r="M4" s="130"/>
    </row>
    <row r="5" spans="1:13">
      <c r="A5" s="5" t="s">
        <v>782</v>
      </c>
      <c r="B5" s="5" t="s">
        <v>5</v>
      </c>
      <c r="C5" s="5" t="s">
        <v>783</v>
      </c>
      <c r="E5" s="14" t="s">
        <v>161</v>
      </c>
      <c r="F5" s="14" t="s">
        <v>69</v>
      </c>
      <c r="G5" s="14" t="s">
        <v>197</v>
      </c>
      <c r="J5" s="1" t="s">
        <v>169</v>
      </c>
      <c r="K5" s="1" t="s">
        <v>119</v>
      </c>
      <c r="L5" s="1" t="s">
        <v>134</v>
      </c>
      <c r="M5" s="130"/>
    </row>
    <row r="6" spans="1:13">
      <c r="A6" s="5" t="s">
        <v>464</v>
      </c>
      <c r="B6" s="5" t="s">
        <v>6</v>
      </c>
      <c r="C6" s="5" t="s">
        <v>203</v>
      </c>
      <c r="E6" s="14" t="s">
        <v>1231</v>
      </c>
      <c r="F6" s="14" t="s">
        <v>70</v>
      </c>
      <c r="G6" s="14" t="s">
        <v>194</v>
      </c>
    </row>
    <row r="7" spans="1:13">
      <c r="A7" s="5" t="s">
        <v>466</v>
      </c>
      <c r="B7" s="5" t="s">
        <v>7</v>
      </c>
      <c r="C7" s="5" t="s">
        <v>786</v>
      </c>
      <c r="E7" s="14" t="s">
        <v>1232</v>
      </c>
      <c r="F7" s="14" t="s">
        <v>71</v>
      </c>
      <c r="G7" s="14" t="s">
        <v>198</v>
      </c>
      <c r="J7" s="1" t="s">
        <v>115</v>
      </c>
      <c r="K7" s="1" t="s">
        <v>120</v>
      </c>
      <c r="L7" s="1" t="s">
        <v>138</v>
      </c>
      <c r="M7" s="130" t="s">
        <v>788</v>
      </c>
    </row>
    <row r="8" spans="1:13">
      <c r="A8" s="1" t="s">
        <v>0</v>
      </c>
      <c r="B8" s="3" t="s">
        <v>777</v>
      </c>
      <c r="C8" s="1" t="s">
        <v>131</v>
      </c>
      <c r="E8" s="6" t="s">
        <v>159</v>
      </c>
      <c r="F8" s="6" t="s">
        <v>72</v>
      </c>
      <c r="G8" s="6" t="s">
        <v>195</v>
      </c>
      <c r="J8" s="1" t="s">
        <v>114</v>
      </c>
      <c r="K8" s="1" t="s">
        <v>121</v>
      </c>
      <c r="L8" s="1" t="s">
        <v>139</v>
      </c>
      <c r="M8" s="130"/>
    </row>
    <row r="9" spans="1:13">
      <c r="A9" s="1" t="s">
        <v>1</v>
      </c>
      <c r="B9" s="3" t="s">
        <v>778</v>
      </c>
      <c r="C9" s="1" t="s">
        <v>185</v>
      </c>
      <c r="E9" s="6" t="s">
        <v>158</v>
      </c>
      <c r="F9" s="6" t="s">
        <v>73</v>
      </c>
      <c r="G9" s="6" t="s">
        <v>199</v>
      </c>
      <c r="J9" s="1"/>
      <c r="K9" s="1" t="s">
        <v>1051</v>
      </c>
      <c r="L9" s="1"/>
      <c r="M9" s="130"/>
    </row>
    <row r="10" spans="1:13">
      <c r="A10" s="3"/>
      <c r="B10" s="3" t="s">
        <v>8</v>
      </c>
      <c r="C10" s="3" t="s">
        <v>775</v>
      </c>
      <c r="E10" s="16" t="s">
        <v>74</v>
      </c>
      <c r="F10" s="16" t="s">
        <v>76</v>
      </c>
      <c r="G10" s="16" t="s">
        <v>163</v>
      </c>
      <c r="H10" s="17"/>
      <c r="J10" s="1" t="s">
        <v>1296</v>
      </c>
      <c r="K10" s="1" t="s">
        <v>1052</v>
      </c>
      <c r="L10" s="1" t="s">
        <v>1295</v>
      </c>
      <c r="M10" s="130"/>
    </row>
    <row r="11" spans="1:13">
      <c r="A11" s="3"/>
      <c r="B11" s="3" t="s">
        <v>776</v>
      </c>
      <c r="C11" s="3" t="s">
        <v>784</v>
      </c>
      <c r="E11" s="16" t="s">
        <v>75</v>
      </c>
      <c r="F11" s="16" t="s">
        <v>77</v>
      </c>
      <c r="G11" s="16" t="s">
        <v>162</v>
      </c>
    </row>
    <row r="12" spans="1:13">
      <c r="A12" s="3"/>
      <c r="B12" s="3" t="s">
        <v>779</v>
      </c>
      <c r="C12" s="3" t="s">
        <v>785</v>
      </c>
      <c r="E12" s="3" t="s">
        <v>1309</v>
      </c>
      <c r="F12" s="3" t="s">
        <v>78</v>
      </c>
      <c r="G12" s="3"/>
      <c r="H12" s="13"/>
      <c r="J12" s="16" t="s">
        <v>1321</v>
      </c>
      <c r="K12" s="1" t="s">
        <v>1320</v>
      </c>
      <c r="L12" s="1"/>
      <c r="M12" s="130" t="s">
        <v>1325</v>
      </c>
    </row>
    <row r="13" spans="1:13">
      <c r="A13" s="1"/>
      <c r="B13" s="1" t="s">
        <v>9</v>
      </c>
      <c r="C13" s="1" t="s">
        <v>207</v>
      </c>
      <c r="E13" s="3" t="s">
        <v>1310</v>
      </c>
      <c r="F13" s="3" t="s">
        <v>79</v>
      </c>
      <c r="G13" s="3"/>
      <c r="J13" s="1"/>
      <c r="K13" s="1" t="s">
        <v>1322</v>
      </c>
      <c r="L13" s="1"/>
      <c r="M13" s="130"/>
    </row>
    <row r="14" spans="1:13">
      <c r="A14" s="1"/>
      <c r="B14" s="1" t="s">
        <v>10</v>
      </c>
      <c r="C14" s="1" t="s">
        <v>206</v>
      </c>
      <c r="E14" s="6" t="s">
        <v>1297</v>
      </c>
      <c r="F14" s="6" t="s">
        <v>80</v>
      </c>
      <c r="G14" s="6" t="s">
        <v>1038</v>
      </c>
      <c r="J14" s="1"/>
      <c r="K14" s="1" t="s">
        <v>1323</v>
      </c>
      <c r="L14" s="1"/>
      <c r="M14" s="130"/>
    </row>
    <row r="15" spans="1:13">
      <c r="A15" s="1"/>
      <c r="B15" s="1" t="s">
        <v>11</v>
      </c>
      <c r="C15" s="1" t="s">
        <v>205</v>
      </c>
      <c r="E15" s="6" t="s">
        <v>1298</v>
      </c>
      <c r="F15" s="6" t="s">
        <v>81</v>
      </c>
      <c r="G15" s="6" t="s">
        <v>1039</v>
      </c>
      <c r="J15" s="1"/>
      <c r="K15" s="1" t="s">
        <v>1324</v>
      </c>
      <c r="L15" s="1"/>
      <c r="M15" s="130"/>
    </row>
    <row r="16" spans="1:13">
      <c r="A16" s="1"/>
      <c r="B16" s="1" t="s">
        <v>12</v>
      </c>
      <c r="C16" s="1" t="s">
        <v>204</v>
      </c>
      <c r="E16" s="14" t="s">
        <v>1299</v>
      </c>
      <c r="F16" s="14" t="s">
        <v>82</v>
      </c>
      <c r="G16" s="14" t="s">
        <v>1040</v>
      </c>
    </row>
    <row r="17" spans="1:13">
      <c r="A17" s="1"/>
      <c r="B17" s="1" t="s">
        <v>13</v>
      </c>
      <c r="C17" s="1" t="s">
        <v>780</v>
      </c>
      <c r="E17" s="14" t="s">
        <v>1300</v>
      </c>
      <c r="F17" s="14" t="s">
        <v>83</v>
      </c>
      <c r="G17" s="14" t="s">
        <v>1041</v>
      </c>
      <c r="J17" s="1" t="s">
        <v>171</v>
      </c>
      <c r="K17" s="1" t="s">
        <v>164</v>
      </c>
      <c r="L17" s="1" t="s">
        <v>175</v>
      </c>
      <c r="M17" s="79" t="s">
        <v>789</v>
      </c>
    </row>
    <row r="18" spans="1:13">
      <c r="A18" s="5" t="s">
        <v>469</v>
      </c>
      <c r="B18" s="1" t="s">
        <v>14</v>
      </c>
      <c r="C18" s="1" t="s">
        <v>126</v>
      </c>
      <c r="E18" s="3" t="s">
        <v>150</v>
      </c>
      <c r="F18" s="3" t="s">
        <v>84</v>
      </c>
      <c r="G18" s="3" t="s">
        <v>154</v>
      </c>
      <c r="J18" s="1" t="s">
        <v>170</v>
      </c>
      <c r="K18" s="1" t="s">
        <v>165</v>
      </c>
      <c r="L18" s="1" t="s">
        <v>176</v>
      </c>
      <c r="M18" s="79"/>
    </row>
    <row r="19" spans="1:13">
      <c r="A19" s="5" t="s">
        <v>470</v>
      </c>
      <c r="B19" s="1" t="s">
        <v>15</v>
      </c>
      <c r="C19" s="1" t="s">
        <v>127</v>
      </c>
      <c r="E19" s="3" t="s">
        <v>151</v>
      </c>
      <c r="F19" s="3" t="s">
        <v>90</v>
      </c>
      <c r="G19" s="3" t="s">
        <v>157</v>
      </c>
      <c r="J19" s="1"/>
      <c r="K19" s="1" t="s">
        <v>1053</v>
      </c>
      <c r="L19" s="1"/>
      <c r="M19" s="79"/>
    </row>
    <row r="20" spans="1:13">
      <c r="A20" s="5" t="s">
        <v>22</v>
      </c>
      <c r="B20" s="1" t="s">
        <v>16</v>
      </c>
      <c r="C20" s="1" t="s">
        <v>128</v>
      </c>
      <c r="E20" s="3" t="s">
        <v>152</v>
      </c>
      <c r="F20" s="3" t="s">
        <v>91</v>
      </c>
      <c r="G20" s="3" t="s">
        <v>155</v>
      </c>
      <c r="J20" s="1"/>
      <c r="K20" s="1" t="s">
        <v>1054</v>
      </c>
      <c r="L20" s="1"/>
      <c r="M20" s="79"/>
    </row>
    <row r="21" spans="1:13">
      <c r="A21" s="5" t="s">
        <v>23</v>
      </c>
      <c r="B21" s="1" t="s">
        <v>17</v>
      </c>
      <c r="C21" s="1" t="s">
        <v>129</v>
      </c>
      <c r="E21" s="3" t="s">
        <v>153</v>
      </c>
      <c r="F21" s="3" t="s">
        <v>92</v>
      </c>
      <c r="G21" s="3" t="s">
        <v>156</v>
      </c>
    </row>
    <row r="22" spans="1:13">
      <c r="A22" s="3" t="s">
        <v>146</v>
      </c>
      <c r="B22" s="3" t="s">
        <v>18</v>
      </c>
      <c r="C22" s="1" t="s">
        <v>130</v>
      </c>
      <c r="E22" s="1" t="s">
        <v>85</v>
      </c>
      <c r="F22" s="1" t="s">
        <v>93</v>
      </c>
      <c r="G22" s="1" t="s">
        <v>172</v>
      </c>
      <c r="J22" t="s">
        <v>1779</v>
      </c>
      <c r="K22" s="1" t="s">
        <v>1780</v>
      </c>
      <c r="L22" s="1"/>
      <c r="M22" s="79" t="s">
        <v>1775</v>
      </c>
    </row>
    <row r="23" spans="1:13">
      <c r="A23" s="3" t="s">
        <v>147</v>
      </c>
      <c r="B23" s="3" t="s">
        <v>19</v>
      </c>
      <c r="C23" s="1" t="s">
        <v>133</v>
      </c>
      <c r="E23" s="80" t="s">
        <v>1060</v>
      </c>
      <c r="F23" s="1" t="s">
        <v>94</v>
      </c>
      <c r="G23" s="80" t="s">
        <v>1535</v>
      </c>
      <c r="J23" t="s">
        <v>1779</v>
      </c>
      <c r="K23" s="1" t="s">
        <v>1781</v>
      </c>
      <c r="L23" s="1"/>
      <c r="M23" s="79"/>
    </row>
    <row r="24" spans="1:13">
      <c r="A24" s="2" t="s">
        <v>148</v>
      </c>
      <c r="B24" s="2" t="s">
        <v>20</v>
      </c>
      <c r="C24" s="1" t="s">
        <v>125</v>
      </c>
      <c r="E24" s="1" t="s">
        <v>86</v>
      </c>
      <c r="F24" s="1" t="s">
        <v>95</v>
      </c>
      <c r="G24" s="30" t="s">
        <v>173</v>
      </c>
      <c r="J24" s="16" t="s">
        <v>74</v>
      </c>
      <c r="K24" s="1" t="s">
        <v>1782</v>
      </c>
      <c r="L24" s="1"/>
      <c r="M24" s="79"/>
    </row>
    <row r="25" spans="1:13">
      <c r="A25" s="2" t="s">
        <v>149</v>
      </c>
      <c r="B25" s="2" t="s">
        <v>21</v>
      </c>
      <c r="C25" s="1" t="s">
        <v>132</v>
      </c>
      <c r="E25" s="1" t="s">
        <v>87</v>
      </c>
      <c r="F25" s="1" t="s">
        <v>96</v>
      </c>
      <c r="G25" s="30" t="s">
        <v>174</v>
      </c>
      <c r="J25" s="16" t="s">
        <v>75</v>
      </c>
      <c r="K25" s="1" t="s">
        <v>1783</v>
      </c>
      <c r="L25" s="1"/>
      <c r="M25" s="79"/>
    </row>
    <row r="26" spans="1:13">
      <c r="A26" s="1" t="s">
        <v>468</v>
      </c>
      <c r="B26" s="1" t="s">
        <v>24</v>
      </c>
      <c r="C26" s="1" t="s">
        <v>467</v>
      </c>
      <c r="E26" s="1" t="s">
        <v>88</v>
      </c>
      <c r="F26" s="1" t="s">
        <v>89</v>
      </c>
      <c r="G26" t="s">
        <v>1545</v>
      </c>
    </row>
    <row r="27" spans="1:13">
      <c r="A27" s="1" t="s">
        <v>189</v>
      </c>
      <c r="B27" s="1" t="s">
        <v>25</v>
      </c>
      <c r="C27" s="132" t="s">
        <v>140</v>
      </c>
      <c r="D27" s="8"/>
      <c r="E27" s="1" t="s">
        <v>1311</v>
      </c>
      <c r="F27" s="1" t="s">
        <v>99</v>
      </c>
      <c r="G27" t="s">
        <v>1546</v>
      </c>
      <c r="J27" s="1" t="s">
        <v>1777</v>
      </c>
      <c r="K27" s="1" t="s">
        <v>1784</v>
      </c>
      <c r="L27" s="1"/>
      <c r="M27" s="79" t="s">
        <v>1776</v>
      </c>
    </row>
    <row r="28" spans="1:13">
      <c r="A28" s="1" t="s">
        <v>190</v>
      </c>
      <c r="B28" s="1" t="s">
        <v>26</v>
      </c>
      <c r="C28" s="133"/>
      <c r="D28" s="9"/>
      <c r="E28" s="1" t="s">
        <v>1312</v>
      </c>
      <c r="F28" s="1" t="s">
        <v>100</v>
      </c>
      <c r="G28" t="s">
        <v>1547</v>
      </c>
      <c r="J28" s="1" t="s">
        <v>1778</v>
      </c>
      <c r="K28" s="1" t="s">
        <v>1785</v>
      </c>
      <c r="L28" s="1"/>
      <c r="M28" s="79"/>
    </row>
    <row r="29" spans="1:13">
      <c r="A29" s="1" t="s">
        <v>191</v>
      </c>
      <c r="B29" s="1" t="s">
        <v>27</v>
      </c>
      <c r="C29" s="133"/>
      <c r="D29" s="9"/>
      <c r="E29" s="1" t="s">
        <v>1313</v>
      </c>
      <c r="F29" s="1" t="s">
        <v>101</v>
      </c>
      <c r="G29" t="s">
        <v>1548</v>
      </c>
      <c r="J29" s="1"/>
      <c r="K29" s="1" t="s">
        <v>1786</v>
      </c>
      <c r="L29" s="1"/>
      <c r="M29" s="79"/>
    </row>
    <row r="30" spans="1:13">
      <c r="A30" s="1" t="s">
        <v>1530</v>
      </c>
      <c r="B30" s="1" t="s">
        <v>28</v>
      </c>
      <c r="C30" s="4"/>
      <c r="D30" s="10"/>
      <c r="E30" s="1" t="s">
        <v>1314</v>
      </c>
      <c r="F30" s="1" t="s">
        <v>102</v>
      </c>
      <c r="G30" t="s">
        <v>1549</v>
      </c>
      <c r="J30" s="1"/>
      <c r="K30" s="1" t="s">
        <v>1787</v>
      </c>
      <c r="L30" s="1"/>
      <c r="M30" s="79"/>
    </row>
    <row r="31" spans="1:13">
      <c r="A31" s="1" t="s">
        <v>1529</v>
      </c>
      <c r="B31" s="1" t="s">
        <v>29</v>
      </c>
      <c r="C31" s="4"/>
      <c r="D31" s="10"/>
      <c r="E31" s="1" t="s">
        <v>97</v>
      </c>
      <c r="F31" s="1" t="s">
        <v>103</v>
      </c>
      <c r="G31" t="s">
        <v>1550</v>
      </c>
    </row>
    <row r="32" spans="1:13">
      <c r="A32" s="1" t="s">
        <v>1301</v>
      </c>
      <c r="B32" s="1" t="s">
        <v>30</v>
      </c>
      <c r="C32" s="1" t="s">
        <v>1531</v>
      </c>
      <c r="D32" s="10"/>
      <c r="E32" s="1" t="s">
        <v>1315</v>
      </c>
      <c r="F32" s="1" t="s">
        <v>104</v>
      </c>
      <c r="G32" t="s">
        <v>1551</v>
      </c>
    </row>
    <row r="33" spans="1:7">
      <c r="A33" s="1" t="s">
        <v>1302</v>
      </c>
      <c r="B33" s="1" t="s">
        <v>31</v>
      </c>
      <c r="C33" s="4" t="s">
        <v>1532</v>
      </c>
      <c r="D33" s="10"/>
      <c r="E33" s="1" t="s">
        <v>1316</v>
      </c>
      <c r="F33" s="1" t="s">
        <v>105</v>
      </c>
      <c r="G33" t="s">
        <v>1552</v>
      </c>
    </row>
    <row r="34" spans="1:7">
      <c r="A34" s="1"/>
      <c r="B34" s="1" t="s">
        <v>32</v>
      </c>
      <c r="C34" s="127" t="s">
        <v>186</v>
      </c>
      <c r="E34" s="1" t="s">
        <v>141</v>
      </c>
      <c r="F34" s="1" t="s">
        <v>106</v>
      </c>
      <c r="G34" s="126" t="s">
        <v>144</v>
      </c>
    </row>
    <row r="35" spans="1:7">
      <c r="A35" s="1"/>
      <c r="B35" s="1" t="s">
        <v>33</v>
      </c>
      <c r="C35" s="128"/>
      <c r="E35" s="1" t="s">
        <v>142</v>
      </c>
      <c r="F35" s="1" t="s">
        <v>107</v>
      </c>
      <c r="G35" s="126"/>
    </row>
    <row r="36" spans="1:7">
      <c r="A36" s="1"/>
      <c r="B36" s="1" t="s">
        <v>34</v>
      </c>
      <c r="C36" s="128"/>
      <c r="E36" s="1" t="s">
        <v>143</v>
      </c>
      <c r="F36" s="1" t="s">
        <v>108</v>
      </c>
      <c r="G36" s="126"/>
    </row>
    <row r="37" spans="1:7">
      <c r="A37" s="1"/>
      <c r="B37" s="1" t="s">
        <v>35</v>
      </c>
      <c r="C37" s="128"/>
      <c r="E37" s="1" t="s">
        <v>145</v>
      </c>
      <c r="F37" s="1" t="s">
        <v>109</v>
      </c>
      <c r="G37" s="126"/>
    </row>
    <row r="38" spans="1:7">
      <c r="A38" s="1"/>
      <c r="B38" s="1" t="s">
        <v>36</v>
      </c>
      <c r="C38" s="128"/>
      <c r="E38" s="1" t="s">
        <v>1317</v>
      </c>
      <c r="F38" s="1" t="s">
        <v>110</v>
      </c>
      <c r="G38" s="1"/>
    </row>
    <row r="39" spans="1:7">
      <c r="A39" s="1"/>
      <c r="B39" s="1" t="s">
        <v>37</v>
      </c>
      <c r="C39" s="129"/>
      <c r="E39" s="1" t="s">
        <v>1318</v>
      </c>
      <c r="F39" s="1" t="s">
        <v>111</v>
      </c>
      <c r="G39" s="1"/>
    </row>
    <row r="40" spans="1:7">
      <c r="A40" s="1"/>
      <c r="B40" s="1" t="s">
        <v>38</v>
      </c>
      <c r="C40" s="1" t="s">
        <v>131</v>
      </c>
      <c r="E40" s="1" t="s">
        <v>1319</v>
      </c>
      <c r="F40" s="1" t="s">
        <v>112</v>
      </c>
      <c r="G40" s="1"/>
    </row>
    <row r="41" spans="1:7">
      <c r="A41" s="1"/>
      <c r="B41" s="1" t="s">
        <v>39</v>
      </c>
      <c r="C41" s="1" t="s">
        <v>185</v>
      </c>
      <c r="E41" s="1"/>
      <c r="F41" s="1" t="s">
        <v>113</v>
      </c>
      <c r="G41" s="1"/>
    </row>
    <row r="42" spans="1:7">
      <c r="A42" s="1" t="s">
        <v>41</v>
      </c>
      <c r="B42" s="1" t="s">
        <v>40</v>
      </c>
      <c r="C42" s="1"/>
      <c r="E42" s="1"/>
      <c r="F42" s="1" t="s">
        <v>1766</v>
      </c>
      <c r="G42" s="1"/>
    </row>
    <row r="43" spans="1:7">
      <c r="A43" s="1" t="s">
        <v>42</v>
      </c>
      <c r="B43" s="1" t="s">
        <v>49</v>
      </c>
      <c r="C43" s="1" t="s">
        <v>180</v>
      </c>
      <c r="E43" s="1"/>
      <c r="F43" s="1" t="s">
        <v>1767</v>
      </c>
      <c r="G43" s="1"/>
    </row>
    <row r="44" spans="1:7">
      <c r="A44" s="1" t="s">
        <v>43</v>
      </c>
      <c r="B44" s="1" t="s">
        <v>50</v>
      </c>
      <c r="C44" s="1" t="s">
        <v>177</v>
      </c>
      <c r="E44" s="1"/>
      <c r="F44" s="1" t="s">
        <v>1768</v>
      </c>
      <c r="G44" s="1"/>
    </row>
    <row r="45" spans="1:7">
      <c r="A45" s="1" t="s">
        <v>44</v>
      </c>
      <c r="B45" s="1" t="s">
        <v>51</v>
      </c>
      <c r="C45" s="1" t="s">
        <v>178</v>
      </c>
      <c r="E45" s="1"/>
      <c r="F45" s="1" t="s">
        <v>1769</v>
      </c>
      <c r="G45" s="1"/>
    </row>
    <row r="46" spans="1:7">
      <c r="A46" s="1" t="s">
        <v>45</v>
      </c>
      <c r="B46" s="1" t="s">
        <v>52</v>
      </c>
      <c r="C46" s="1" t="s">
        <v>179</v>
      </c>
      <c r="E46" s="1"/>
      <c r="F46" s="1" t="s">
        <v>1770</v>
      </c>
      <c r="G46" s="1" t="s">
        <v>1553</v>
      </c>
    </row>
    <row r="47" spans="1:7">
      <c r="A47" s="1" t="s">
        <v>46</v>
      </c>
      <c r="B47" s="1" t="s">
        <v>53</v>
      </c>
      <c r="C47" s="1" t="s">
        <v>181</v>
      </c>
      <c r="E47" s="1"/>
      <c r="F47" s="1" t="s">
        <v>1771</v>
      </c>
      <c r="G47" s="1"/>
    </row>
    <row r="48" spans="1:7">
      <c r="A48" s="1" t="s">
        <v>47</v>
      </c>
      <c r="B48" s="1" t="s">
        <v>54</v>
      </c>
      <c r="C48" s="1" t="s">
        <v>187</v>
      </c>
      <c r="E48" s="1"/>
      <c r="F48" s="1" t="s">
        <v>1772</v>
      </c>
      <c r="G48" s="1"/>
    </row>
    <row r="49" spans="1:7">
      <c r="A49" s="1" t="s">
        <v>48</v>
      </c>
      <c r="B49" s="1" t="s">
        <v>55</v>
      </c>
      <c r="C49" s="1" t="s">
        <v>188</v>
      </c>
      <c r="E49" s="1"/>
      <c r="F49" s="1" t="s">
        <v>1773</v>
      </c>
      <c r="G49" s="1"/>
    </row>
    <row r="50" spans="1:7">
      <c r="A50" s="1" t="s">
        <v>1303</v>
      </c>
      <c r="B50" s="1" t="s">
        <v>56</v>
      </c>
      <c r="C50" s="1" t="s">
        <v>183</v>
      </c>
      <c r="E50" s="1"/>
      <c r="F50" s="1"/>
      <c r="G50" s="1"/>
    </row>
    <row r="51" spans="1:7">
      <c r="A51" s="1" t="s">
        <v>57</v>
      </c>
      <c r="B51" s="1" t="s">
        <v>59</v>
      </c>
      <c r="C51" s="1" t="s">
        <v>184</v>
      </c>
      <c r="E51" s="1"/>
      <c r="F51" s="1"/>
      <c r="G51" s="1"/>
    </row>
    <row r="52" spans="1:7">
      <c r="A52" s="1" t="s">
        <v>58</v>
      </c>
      <c r="B52" s="1" t="s">
        <v>60</v>
      </c>
      <c r="C52" s="1" t="s">
        <v>182</v>
      </c>
      <c r="E52" s="1"/>
      <c r="F52" s="1"/>
      <c r="G52" s="1"/>
    </row>
    <row r="53" spans="1:7">
      <c r="A53" s="1" t="s">
        <v>1304</v>
      </c>
      <c r="B53" s="1" t="s">
        <v>61</v>
      </c>
      <c r="C53" s="1"/>
      <c r="E53" s="1"/>
      <c r="F53" s="1"/>
      <c r="G53" s="1"/>
    </row>
    <row r="54" spans="1:7">
      <c r="A54" s="1" t="s">
        <v>1305</v>
      </c>
      <c r="B54" s="1" t="s">
        <v>62</v>
      </c>
      <c r="C54" s="1"/>
      <c r="E54" s="1"/>
      <c r="F54" s="1"/>
      <c r="G54" s="1"/>
    </row>
    <row r="55" spans="1:7">
      <c r="A55" s="1" t="s">
        <v>1306</v>
      </c>
      <c r="B55" s="1" t="s">
        <v>63</v>
      </c>
      <c r="C55" s="1"/>
      <c r="E55" s="1"/>
      <c r="F55" s="1"/>
      <c r="G55" s="1"/>
    </row>
    <row r="56" spans="1:7">
      <c r="A56" s="1" t="s">
        <v>1307</v>
      </c>
      <c r="B56" s="1" t="s">
        <v>64</v>
      </c>
      <c r="C56" s="1"/>
      <c r="E56" s="1"/>
      <c r="F56" s="1"/>
      <c r="G56" s="1"/>
    </row>
    <row r="57" spans="1:7">
      <c r="A57" s="1" t="s">
        <v>1308</v>
      </c>
      <c r="B57" s="1" t="s">
        <v>65</v>
      </c>
      <c r="C57" s="1"/>
      <c r="E57" s="1"/>
      <c r="F57" s="1"/>
      <c r="G57" s="1"/>
    </row>
  </sheetData>
  <mergeCells count="9">
    <mergeCell ref="G34:G37"/>
    <mergeCell ref="C34:C39"/>
    <mergeCell ref="M2:M5"/>
    <mergeCell ref="M7:M10"/>
    <mergeCell ref="A1:C1"/>
    <mergeCell ref="E1:G1"/>
    <mergeCell ref="J1:L1"/>
    <mergeCell ref="M12:M15"/>
    <mergeCell ref="C27:C29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0070-4729-4BC9-9928-E6B1DEA7D3DE}">
  <sheetPr codeName="Sheet2"/>
  <dimension ref="A1:AI190"/>
  <sheetViews>
    <sheetView zoomScale="115" zoomScaleNormal="115" workbookViewId="0">
      <pane ySplit="1" topLeftCell="A2" activePane="bottomLeft" state="frozen"/>
      <selection pane="bottomLeft" activeCell="G22" sqref="G22"/>
    </sheetView>
  </sheetViews>
  <sheetFormatPr defaultRowHeight="14.25"/>
  <cols>
    <col min="1" max="1" width="3.75" style="22" customWidth="1"/>
    <col min="2" max="2" width="15.375" customWidth="1"/>
    <col min="3" max="3" width="7.25" customWidth="1"/>
    <col min="4" max="4" width="34.5" bestFit="1" customWidth="1"/>
    <col min="5" max="5" width="2.125" customWidth="1"/>
    <col min="6" max="6" width="3.625" style="22" customWidth="1"/>
    <col min="7" max="7" width="15.375" customWidth="1"/>
    <col min="8" max="8" width="7.25" customWidth="1"/>
    <col min="9" max="9" width="31" customWidth="1"/>
    <col min="10" max="10" width="1.375" customWidth="1"/>
    <col min="11" max="11" width="4.875" customWidth="1"/>
    <col min="12" max="12" width="15.125" customWidth="1"/>
    <col min="13" max="13" width="6.75" customWidth="1"/>
    <col min="14" max="14" width="29.875" customWidth="1"/>
    <col min="15" max="15" width="1.375" customWidth="1"/>
    <col min="16" max="16" width="4.375" style="22" customWidth="1"/>
    <col min="17" max="17" width="13.5" customWidth="1"/>
    <col min="18" max="18" width="22.875" customWidth="1"/>
    <col min="19" max="19" width="1.25" customWidth="1"/>
    <col min="20" max="20" width="3.625" customWidth="1"/>
    <col min="21" max="21" width="13.5" customWidth="1"/>
    <col min="22" max="22" width="23.25" customWidth="1"/>
    <col min="23" max="23" width="1.875" customWidth="1"/>
    <col min="24" max="24" width="3.25" customWidth="1"/>
    <col min="25" max="25" width="12" style="22" customWidth="1"/>
    <col min="26" max="26" width="21.875" customWidth="1"/>
    <col min="27" max="27" width="1.625" customWidth="1"/>
    <col min="28" max="28" width="3.75" customWidth="1"/>
    <col min="29" max="29" width="14.375" customWidth="1"/>
    <col min="30" max="30" width="7.75" customWidth="1"/>
    <col min="31" max="32" width="2.75" customWidth="1"/>
    <col min="33" max="33" width="6.375" customWidth="1"/>
    <col min="34" max="34" width="16.625" customWidth="1"/>
    <col min="35" max="35" width="10.5" customWidth="1"/>
    <col min="36" max="36" width="2.125" customWidth="1"/>
  </cols>
  <sheetData>
    <row r="1" spans="1:35" ht="15">
      <c r="A1" s="18" t="s">
        <v>513</v>
      </c>
      <c r="B1" s="18" t="s">
        <v>226</v>
      </c>
      <c r="C1" s="18" t="s">
        <v>474</v>
      </c>
      <c r="D1" s="18" t="s">
        <v>208</v>
      </c>
      <c r="F1" s="18" t="s">
        <v>513</v>
      </c>
      <c r="G1" s="18" t="s">
        <v>225</v>
      </c>
      <c r="H1" s="18" t="s">
        <v>474</v>
      </c>
      <c r="I1" s="18" t="s">
        <v>208</v>
      </c>
      <c r="K1" s="18" t="s">
        <v>513</v>
      </c>
      <c r="L1" s="18" t="s">
        <v>225</v>
      </c>
      <c r="M1" s="18" t="s">
        <v>474</v>
      </c>
      <c r="N1" s="18" t="s">
        <v>208</v>
      </c>
      <c r="P1" s="18" t="s">
        <v>513</v>
      </c>
      <c r="Q1" s="18" t="s">
        <v>226</v>
      </c>
      <c r="R1" s="18" t="s">
        <v>208</v>
      </c>
      <c r="T1" s="96" t="s">
        <v>513</v>
      </c>
      <c r="U1" s="96" t="s">
        <v>226</v>
      </c>
      <c r="V1" s="96" t="s">
        <v>208</v>
      </c>
      <c r="X1" s="18" t="s">
        <v>513</v>
      </c>
      <c r="Y1" s="18" t="s">
        <v>226</v>
      </c>
      <c r="Z1" s="18" t="s">
        <v>208</v>
      </c>
      <c r="AB1" s="18" t="s">
        <v>513</v>
      </c>
      <c r="AC1" s="18" t="s">
        <v>226</v>
      </c>
      <c r="AD1" s="18" t="s">
        <v>208</v>
      </c>
      <c r="AG1" s="18" t="s">
        <v>513</v>
      </c>
      <c r="AH1" s="18" t="s">
        <v>226</v>
      </c>
      <c r="AI1" s="18" t="s">
        <v>208</v>
      </c>
    </row>
    <row r="2" spans="1:35">
      <c r="A2" s="21">
        <v>0</v>
      </c>
      <c r="B2" s="19" t="s">
        <v>209</v>
      </c>
      <c r="C2" s="23" t="s">
        <v>252</v>
      </c>
      <c r="D2" s="1" t="s">
        <v>646</v>
      </c>
      <c r="F2" s="21">
        <v>0</v>
      </c>
      <c r="G2" s="19" t="s">
        <v>217</v>
      </c>
      <c r="H2" s="23" t="s">
        <v>252</v>
      </c>
      <c r="I2" s="47" t="s">
        <v>1676</v>
      </c>
      <c r="K2" s="21">
        <v>0</v>
      </c>
      <c r="L2" s="19" t="s">
        <v>475</v>
      </c>
      <c r="M2" s="23" t="s">
        <v>252</v>
      </c>
      <c r="N2" s="1" t="s">
        <v>1192</v>
      </c>
      <c r="P2" s="21">
        <v>0</v>
      </c>
      <c r="Q2" s="27" t="s">
        <v>1055</v>
      </c>
      <c r="R2" s="1" t="s">
        <v>392</v>
      </c>
      <c r="T2" s="97">
        <v>0</v>
      </c>
      <c r="U2" s="98" t="s">
        <v>1561</v>
      </c>
      <c r="V2" s="106" t="s">
        <v>1346</v>
      </c>
      <c r="X2" s="21">
        <v>0</v>
      </c>
      <c r="Y2" s="28" t="s">
        <v>437</v>
      </c>
      <c r="Z2" s="1" t="s">
        <v>423</v>
      </c>
      <c r="AB2" s="21">
        <v>0</v>
      </c>
      <c r="AC2" s="27" t="s">
        <v>541</v>
      </c>
      <c r="AD2" s="1" t="s">
        <v>571</v>
      </c>
      <c r="AG2" s="21">
        <v>0</v>
      </c>
      <c r="AH2" s="27" t="s">
        <v>792</v>
      </c>
      <c r="AI2" s="1" t="s">
        <v>813</v>
      </c>
    </row>
    <row r="3" spans="1:35">
      <c r="A3" s="21">
        <v>1</v>
      </c>
      <c r="B3" s="19" t="s">
        <v>210</v>
      </c>
      <c r="C3" s="23" t="s">
        <v>252</v>
      </c>
      <c r="D3" s="1" t="s">
        <v>645</v>
      </c>
      <c r="F3" s="21">
        <v>1</v>
      </c>
      <c r="G3" s="19" t="s">
        <v>218</v>
      </c>
      <c r="H3" s="23" t="s">
        <v>252</v>
      </c>
      <c r="I3" s="1" t="s">
        <v>906</v>
      </c>
      <c r="K3" s="21">
        <v>1</v>
      </c>
      <c r="L3" s="19" t="s">
        <v>476</v>
      </c>
      <c r="M3" s="23" t="s">
        <v>252</v>
      </c>
      <c r="N3" s="1"/>
      <c r="P3" s="21">
        <v>1</v>
      </c>
      <c r="Q3" s="27" t="s">
        <v>405</v>
      </c>
      <c r="R3" s="1" t="s">
        <v>771</v>
      </c>
      <c r="T3" s="99">
        <v>1</v>
      </c>
      <c r="U3" s="27" t="s">
        <v>1327</v>
      </c>
      <c r="V3" s="106" t="s">
        <v>1347</v>
      </c>
      <c r="X3" s="21">
        <v>1</v>
      </c>
      <c r="Y3" s="28" t="s">
        <v>438</v>
      </c>
      <c r="Z3" s="1" t="s">
        <v>424</v>
      </c>
      <c r="AB3" s="21">
        <v>1</v>
      </c>
      <c r="AC3" s="27" t="s">
        <v>542</v>
      </c>
      <c r="AD3" s="1" t="s">
        <v>578</v>
      </c>
      <c r="AG3" s="21">
        <v>1</v>
      </c>
      <c r="AH3" s="27" t="s">
        <v>795</v>
      </c>
      <c r="AI3" s="1" t="s">
        <v>814</v>
      </c>
    </row>
    <row r="4" spans="1:35">
      <c r="A4" s="21">
        <v>2</v>
      </c>
      <c r="B4" s="19" t="s">
        <v>211</v>
      </c>
      <c r="C4" s="23" t="s">
        <v>252</v>
      </c>
      <c r="D4" s="1" t="s">
        <v>697</v>
      </c>
      <c r="F4" s="21">
        <v>2</v>
      </c>
      <c r="G4" s="19" t="s">
        <v>219</v>
      </c>
      <c r="H4" s="23" t="s">
        <v>252</v>
      </c>
      <c r="I4" s="1"/>
      <c r="K4" s="21">
        <v>2</v>
      </c>
      <c r="L4" s="19" t="s">
        <v>477</v>
      </c>
      <c r="M4" s="23" t="s">
        <v>252</v>
      </c>
      <c r="N4" s="1"/>
      <c r="P4" s="21">
        <v>2</v>
      </c>
      <c r="Q4" s="27" t="s">
        <v>406</v>
      </c>
      <c r="R4" s="1" t="s">
        <v>393</v>
      </c>
      <c r="T4" s="99">
        <v>2</v>
      </c>
      <c r="U4" s="27" t="s">
        <v>1328</v>
      </c>
      <c r="V4" s="106" t="s">
        <v>1348</v>
      </c>
      <c r="X4" s="21">
        <v>2</v>
      </c>
      <c r="Y4" s="28" t="s">
        <v>439</v>
      </c>
      <c r="Z4" s="1" t="s">
        <v>425</v>
      </c>
      <c r="AB4" s="21">
        <v>2</v>
      </c>
      <c r="AC4" s="27" t="s">
        <v>543</v>
      </c>
      <c r="AD4" s="1" t="s">
        <v>644</v>
      </c>
      <c r="AG4" s="21">
        <v>2</v>
      </c>
      <c r="AH4" s="27" t="s">
        <v>796</v>
      </c>
      <c r="AI4" s="1" t="s">
        <v>815</v>
      </c>
    </row>
    <row r="5" spans="1:35">
      <c r="A5" s="21">
        <v>3</v>
      </c>
      <c r="B5" s="19" t="s">
        <v>212</v>
      </c>
      <c r="C5" s="23" t="s">
        <v>252</v>
      </c>
      <c r="D5" s="1" t="s">
        <v>698</v>
      </c>
      <c r="F5" s="21">
        <v>3</v>
      </c>
      <c r="G5" s="19" t="s">
        <v>220</v>
      </c>
      <c r="H5" s="23" t="s">
        <v>252</v>
      </c>
      <c r="I5" s="1"/>
      <c r="K5" s="21">
        <v>3</v>
      </c>
      <c r="L5" s="19" t="s">
        <v>478</v>
      </c>
      <c r="M5" s="23" t="s">
        <v>252</v>
      </c>
      <c r="N5" s="1"/>
      <c r="P5" s="21">
        <v>3</v>
      </c>
      <c r="Q5" s="27" t="s">
        <v>407</v>
      </c>
      <c r="R5" s="1" t="s">
        <v>394</v>
      </c>
      <c r="T5" s="99">
        <v>3</v>
      </c>
      <c r="U5" s="27" t="s">
        <v>1329</v>
      </c>
      <c r="V5" s="106" t="s">
        <v>1349</v>
      </c>
      <c r="X5" s="21">
        <v>3</v>
      </c>
      <c r="Y5" s="28" t="s">
        <v>440</v>
      </c>
      <c r="Z5" s="1" t="s">
        <v>426</v>
      </c>
      <c r="AB5" s="21">
        <v>3</v>
      </c>
      <c r="AC5" s="27" t="s">
        <v>544</v>
      </c>
      <c r="AD5" s="1"/>
      <c r="AG5" s="21">
        <v>3</v>
      </c>
      <c r="AH5" s="27" t="s">
        <v>797</v>
      </c>
      <c r="AI5" s="1" t="s">
        <v>816</v>
      </c>
    </row>
    <row r="6" spans="1:35">
      <c r="A6" s="21">
        <v>4</v>
      </c>
      <c r="B6" s="19" t="s">
        <v>213</v>
      </c>
      <c r="C6" s="23" t="s">
        <v>252</v>
      </c>
      <c r="D6" s="1" t="s">
        <v>699</v>
      </c>
      <c r="F6" s="21">
        <v>4</v>
      </c>
      <c r="G6" s="19" t="s">
        <v>221</v>
      </c>
      <c r="H6" s="23" t="s">
        <v>252</v>
      </c>
      <c r="I6" s="1"/>
      <c r="K6" s="21">
        <v>4</v>
      </c>
      <c r="L6" s="19" t="s">
        <v>479</v>
      </c>
      <c r="M6" s="23" t="s">
        <v>252</v>
      </c>
      <c r="N6" s="1"/>
      <c r="P6" s="21">
        <v>4</v>
      </c>
      <c r="Q6" s="27" t="s">
        <v>1560</v>
      </c>
      <c r="R6" s="1" t="s">
        <v>772</v>
      </c>
      <c r="T6" s="99">
        <v>4</v>
      </c>
      <c r="U6" s="102" t="s">
        <v>1330</v>
      </c>
      <c r="V6" s="112" t="s">
        <v>1350</v>
      </c>
      <c r="X6" s="21">
        <v>4</v>
      </c>
      <c r="Y6" s="28" t="s">
        <v>441</v>
      </c>
      <c r="Z6" s="1" t="s">
        <v>427</v>
      </c>
      <c r="AB6" s="21">
        <v>4</v>
      </c>
      <c r="AC6" s="27" t="s">
        <v>545</v>
      </c>
      <c r="AD6" s="1"/>
      <c r="AG6" s="21">
        <v>4</v>
      </c>
      <c r="AH6" s="27" t="s">
        <v>798</v>
      </c>
      <c r="AI6" s="1" t="s">
        <v>817</v>
      </c>
    </row>
    <row r="7" spans="1:35">
      <c r="A7" s="21">
        <v>5</v>
      </c>
      <c r="B7" s="19" t="s">
        <v>214</v>
      </c>
      <c r="C7" s="23" t="s">
        <v>252</v>
      </c>
      <c r="D7" s="1" t="s">
        <v>1774</v>
      </c>
      <c r="F7" s="21">
        <v>5</v>
      </c>
      <c r="G7" s="19" t="s">
        <v>222</v>
      </c>
      <c r="H7" s="23" t="s">
        <v>252</v>
      </c>
      <c r="I7" s="1"/>
      <c r="K7" s="21">
        <v>5</v>
      </c>
      <c r="L7" s="19" t="s">
        <v>480</v>
      </c>
      <c r="M7" s="23" t="s">
        <v>252</v>
      </c>
      <c r="N7" s="1"/>
      <c r="P7" s="21">
        <v>5</v>
      </c>
      <c r="Q7" s="27" t="s">
        <v>408</v>
      </c>
      <c r="R7" s="1" t="s">
        <v>395</v>
      </c>
      <c r="T7" s="99">
        <v>5</v>
      </c>
      <c r="U7" s="27" t="s">
        <v>1331</v>
      </c>
      <c r="V7" s="124" t="s">
        <v>1351</v>
      </c>
      <c r="X7" s="21">
        <v>5</v>
      </c>
      <c r="Y7" s="28" t="s">
        <v>442</v>
      </c>
      <c r="Z7" s="1" t="s">
        <v>428</v>
      </c>
      <c r="AB7" s="21">
        <v>5</v>
      </c>
      <c r="AC7" s="27" t="s">
        <v>546</v>
      </c>
      <c r="AD7" s="1"/>
      <c r="AG7" s="21" t="s">
        <v>793</v>
      </c>
      <c r="AH7" s="27" t="s">
        <v>793</v>
      </c>
      <c r="AI7" s="1" t="s">
        <v>794</v>
      </c>
    </row>
    <row r="8" spans="1:35">
      <c r="A8" s="21">
        <v>6</v>
      </c>
      <c r="B8" s="19" t="s">
        <v>1763</v>
      </c>
      <c r="C8" s="23" t="s">
        <v>252</v>
      </c>
      <c r="D8" s="1" t="s">
        <v>769</v>
      </c>
      <c r="F8" s="21">
        <v>6</v>
      </c>
      <c r="G8" s="24" t="s">
        <v>223</v>
      </c>
      <c r="H8" s="23" t="s">
        <v>252</v>
      </c>
      <c r="I8" s="1"/>
      <c r="K8" s="21">
        <v>6</v>
      </c>
      <c r="L8" s="19" t="s">
        <v>481</v>
      </c>
      <c r="M8" s="1"/>
      <c r="N8" s="1"/>
      <c r="P8" s="21">
        <v>6</v>
      </c>
      <c r="Q8" s="27" t="s">
        <v>409</v>
      </c>
      <c r="R8" s="1" t="s">
        <v>396</v>
      </c>
      <c r="T8" s="99">
        <v>6</v>
      </c>
      <c r="U8" s="102" t="s">
        <v>1332</v>
      </c>
      <c r="V8" s="112" t="s">
        <v>1353</v>
      </c>
      <c r="X8" s="21">
        <v>6</v>
      </c>
      <c r="Y8" s="28" t="s">
        <v>443</v>
      </c>
      <c r="Z8" s="1" t="s">
        <v>429</v>
      </c>
      <c r="AB8" s="21">
        <v>6</v>
      </c>
      <c r="AC8" s="27" t="s">
        <v>547</v>
      </c>
      <c r="AD8" s="1"/>
      <c r="AG8" s="21" t="s">
        <v>793</v>
      </c>
      <c r="AH8" s="27" t="s">
        <v>793</v>
      </c>
      <c r="AI8" s="1" t="s">
        <v>794</v>
      </c>
    </row>
    <row r="9" spans="1:35">
      <c r="A9" s="21">
        <v>7</v>
      </c>
      <c r="B9" s="19" t="s">
        <v>216</v>
      </c>
      <c r="C9" s="104" t="s">
        <v>252</v>
      </c>
      <c r="D9" s="106" t="s">
        <v>1326</v>
      </c>
      <c r="F9" s="21">
        <v>7</v>
      </c>
      <c r="G9" s="19" t="s">
        <v>224</v>
      </c>
      <c r="H9" s="23" t="s">
        <v>252</v>
      </c>
      <c r="I9" s="1"/>
      <c r="K9" s="21">
        <v>7</v>
      </c>
      <c r="L9" s="19" t="s">
        <v>482</v>
      </c>
      <c r="M9" s="1"/>
      <c r="N9" s="1"/>
      <c r="P9" s="21">
        <v>7</v>
      </c>
      <c r="Q9" s="27" t="s">
        <v>410</v>
      </c>
      <c r="R9" s="1" t="s">
        <v>397</v>
      </c>
      <c r="T9" s="99">
        <v>7</v>
      </c>
      <c r="U9" s="27" t="s">
        <v>1333</v>
      </c>
      <c r="V9" s="112" t="s">
        <v>1668</v>
      </c>
      <c r="X9" s="21">
        <v>7</v>
      </c>
      <c r="Y9" s="28" t="s">
        <v>444</v>
      </c>
      <c r="Z9" s="19"/>
      <c r="AB9" s="21">
        <v>7</v>
      </c>
      <c r="AC9" s="27" t="s">
        <v>548</v>
      </c>
      <c r="AD9" s="1"/>
      <c r="AG9" s="21">
        <v>180</v>
      </c>
      <c r="AH9" s="27" t="s">
        <v>799</v>
      </c>
      <c r="AI9" s="1" t="s">
        <v>818</v>
      </c>
    </row>
    <row r="10" spans="1:35">
      <c r="A10" s="21">
        <v>8</v>
      </c>
      <c r="B10" s="81" t="s">
        <v>234</v>
      </c>
      <c r="C10" s="1"/>
      <c r="D10" s="105"/>
      <c r="F10" s="21">
        <v>8</v>
      </c>
      <c r="G10" s="19" t="s">
        <v>257</v>
      </c>
      <c r="H10" s="23" t="s">
        <v>252</v>
      </c>
      <c r="I10" s="1"/>
      <c r="K10" s="21">
        <v>8</v>
      </c>
      <c r="L10" s="19" t="s">
        <v>483</v>
      </c>
      <c r="M10" s="1"/>
      <c r="N10" s="1"/>
      <c r="P10" s="21">
        <v>8</v>
      </c>
      <c r="Q10" s="27" t="s">
        <v>411</v>
      </c>
      <c r="R10" s="1" t="s">
        <v>1183</v>
      </c>
      <c r="T10" s="99">
        <v>8</v>
      </c>
      <c r="U10" s="27" t="s">
        <v>1334</v>
      </c>
      <c r="V10" s="112" t="s">
        <v>1669</v>
      </c>
      <c r="X10" s="21">
        <v>8</v>
      </c>
      <c r="Y10" s="28" t="s">
        <v>445</v>
      </c>
      <c r="Z10" s="1"/>
      <c r="AB10" s="21">
        <v>8</v>
      </c>
      <c r="AC10" s="27" t="s">
        <v>549</v>
      </c>
      <c r="AD10" s="1"/>
      <c r="AG10" s="21" t="s">
        <v>793</v>
      </c>
      <c r="AH10" s="27" t="s">
        <v>793</v>
      </c>
      <c r="AI10" s="1" t="s">
        <v>794</v>
      </c>
    </row>
    <row r="11" spans="1:35">
      <c r="A11" s="21">
        <v>9</v>
      </c>
      <c r="B11" s="19" t="s">
        <v>235</v>
      </c>
      <c r="C11" s="84"/>
      <c r="D11" s="85"/>
      <c r="F11" s="21">
        <v>9</v>
      </c>
      <c r="G11" s="19" t="s">
        <v>258</v>
      </c>
      <c r="H11" s="23" t="s">
        <v>252</v>
      </c>
      <c r="I11" s="1"/>
      <c r="K11" s="21">
        <v>9</v>
      </c>
      <c r="L11" s="19" t="s">
        <v>484</v>
      </c>
      <c r="M11" s="1"/>
      <c r="N11" s="1"/>
      <c r="P11" s="21">
        <v>9</v>
      </c>
      <c r="Q11" s="27" t="s">
        <v>412</v>
      </c>
      <c r="R11" s="1" t="s">
        <v>1191</v>
      </c>
      <c r="T11" s="99">
        <v>9</v>
      </c>
      <c r="U11" s="27" t="s">
        <v>1335</v>
      </c>
      <c r="V11" s="112" t="s">
        <v>1670</v>
      </c>
      <c r="X11" s="21">
        <v>9</v>
      </c>
      <c r="Y11" s="28" t="s">
        <v>446</v>
      </c>
      <c r="Z11" s="1"/>
      <c r="AB11" s="21">
        <v>9</v>
      </c>
      <c r="AC11" s="27" t="s">
        <v>550</v>
      </c>
      <c r="AD11" s="1"/>
      <c r="AG11" s="21" t="s">
        <v>793</v>
      </c>
      <c r="AH11" s="27" t="s">
        <v>793</v>
      </c>
      <c r="AI11" s="1" t="s">
        <v>794</v>
      </c>
    </row>
    <row r="12" spans="1:35">
      <c r="A12" s="21">
        <v>10</v>
      </c>
      <c r="B12" s="19" t="s">
        <v>236</v>
      </c>
      <c r="C12" s="23" t="s">
        <v>252</v>
      </c>
      <c r="D12" s="1" t="s">
        <v>1036</v>
      </c>
      <c r="F12" s="21">
        <v>10</v>
      </c>
      <c r="G12" s="19" t="s">
        <v>259</v>
      </c>
      <c r="H12" s="1"/>
      <c r="I12" s="1"/>
      <c r="K12" s="21">
        <v>10</v>
      </c>
      <c r="L12" s="19" t="s">
        <v>485</v>
      </c>
      <c r="M12" s="1"/>
      <c r="N12" s="1"/>
      <c r="P12" s="21">
        <v>10</v>
      </c>
      <c r="Q12" s="27" t="s">
        <v>413</v>
      </c>
      <c r="R12" s="1" t="s">
        <v>398</v>
      </c>
      <c r="T12" s="99">
        <v>10</v>
      </c>
      <c r="U12" s="27" t="s">
        <v>1336</v>
      </c>
      <c r="V12" s="108" t="s">
        <v>1671</v>
      </c>
      <c r="X12" s="21">
        <v>10</v>
      </c>
      <c r="Y12" s="28" t="s">
        <v>447</v>
      </c>
      <c r="Z12" s="1" t="s">
        <v>430</v>
      </c>
      <c r="AB12" s="21">
        <v>10</v>
      </c>
      <c r="AC12" s="27" t="s">
        <v>551</v>
      </c>
      <c r="AD12" s="1" t="s">
        <v>561</v>
      </c>
      <c r="AG12" s="21">
        <v>200</v>
      </c>
      <c r="AH12" s="27" t="s">
        <v>800</v>
      </c>
      <c r="AI12" s="1" t="s">
        <v>807</v>
      </c>
    </row>
    <row r="13" spans="1:35">
      <c r="A13" s="21">
        <v>11</v>
      </c>
      <c r="B13" s="19" t="s">
        <v>237</v>
      </c>
      <c r="C13" s="23" t="s">
        <v>252</v>
      </c>
      <c r="D13" s="1" t="s">
        <v>1293</v>
      </c>
      <c r="F13" s="21">
        <v>11</v>
      </c>
      <c r="G13" s="19" t="s">
        <v>260</v>
      </c>
      <c r="H13" s="1"/>
      <c r="I13" s="1"/>
      <c r="K13" s="21">
        <v>11</v>
      </c>
      <c r="L13" s="19" t="s">
        <v>486</v>
      </c>
      <c r="M13" s="1"/>
      <c r="N13" s="1"/>
      <c r="P13" s="21">
        <v>11</v>
      </c>
      <c r="Q13" s="27" t="s">
        <v>414</v>
      </c>
      <c r="R13" s="1" t="s">
        <v>773</v>
      </c>
      <c r="T13" s="99">
        <v>11</v>
      </c>
      <c r="U13" s="27" t="s">
        <v>1337</v>
      </c>
      <c r="V13" s="108"/>
      <c r="X13" s="21">
        <v>11</v>
      </c>
      <c r="Y13" s="28" t="s">
        <v>448</v>
      </c>
      <c r="Z13" s="1" t="s">
        <v>431</v>
      </c>
      <c r="AB13" s="21">
        <v>11</v>
      </c>
      <c r="AC13" s="27" t="s">
        <v>552</v>
      </c>
      <c r="AD13" s="1" t="s">
        <v>565</v>
      </c>
      <c r="AG13" s="21">
        <v>201</v>
      </c>
      <c r="AH13" s="27" t="s">
        <v>801</v>
      </c>
      <c r="AI13" s="1" t="s">
        <v>808</v>
      </c>
    </row>
    <row r="14" spans="1:35">
      <c r="A14" s="21">
        <v>12</v>
      </c>
      <c r="B14" s="19" t="s">
        <v>238</v>
      </c>
      <c r="C14" s="23" t="s">
        <v>252</v>
      </c>
      <c r="D14" s="1" t="s">
        <v>1294</v>
      </c>
      <c r="F14" s="21">
        <v>12</v>
      </c>
      <c r="G14" s="19" t="s">
        <v>261</v>
      </c>
      <c r="H14" s="1"/>
      <c r="I14" s="1"/>
      <c r="K14" s="21">
        <v>12</v>
      </c>
      <c r="L14" s="19" t="s">
        <v>487</v>
      </c>
      <c r="M14" s="1"/>
      <c r="N14" s="1"/>
      <c r="P14" s="21">
        <v>12</v>
      </c>
      <c r="Q14" s="27" t="s">
        <v>415</v>
      </c>
      <c r="R14" s="1" t="s">
        <v>399</v>
      </c>
      <c r="T14" s="99">
        <v>12</v>
      </c>
      <c r="U14" s="27" t="s">
        <v>1338</v>
      </c>
      <c r="V14" s="108"/>
      <c r="X14" s="21">
        <v>12</v>
      </c>
      <c r="Y14" s="28" t="s">
        <v>449</v>
      </c>
      <c r="Z14" s="1" t="s">
        <v>432</v>
      </c>
      <c r="AB14" s="21">
        <v>12</v>
      </c>
      <c r="AC14" s="27" t="s">
        <v>553</v>
      </c>
      <c r="AD14" s="1" t="s">
        <v>566</v>
      </c>
      <c r="AG14" s="21">
        <v>202</v>
      </c>
      <c r="AH14" s="27" t="s">
        <v>802</v>
      </c>
      <c r="AI14" s="1" t="s">
        <v>809</v>
      </c>
    </row>
    <row r="15" spans="1:35">
      <c r="A15" s="21">
        <v>13</v>
      </c>
      <c r="B15" s="19" t="s">
        <v>239</v>
      </c>
      <c r="C15" s="23" t="s">
        <v>252</v>
      </c>
      <c r="D15" s="1"/>
      <c r="F15" s="21">
        <v>13</v>
      </c>
      <c r="G15" s="19" t="s">
        <v>262</v>
      </c>
      <c r="H15" s="1"/>
      <c r="I15" s="1"/>
      <c r="K15" s="21">
        <v>13</v>
      </c>
      <c r="L15" s="19" t="s">
        <v>488</v>
      </c>
      <c r="M15" s="1"/>
      <c r="N15" s="1"/>
      <c r="P15" s="21">
        <v>13</v>
      </c>
      <c r="Q15" s="27" t="s">
        <v>416</v>
      </c>
      <c r="R15" s="1" t="s">
        <v>400</v>
      </c>
      <c r="T15" s="99">
        <v>13</v>
      </c>
      <c r="U15" s="27" t="s">
        <v>1339</v>
      </c>
      <c r="V15" s="108"/>
      <c r="X15" s="21">
        <v>13</v>
      </c>
      <c r="Y15" s="28" t="s">
        <v>450</v>
      </c>
      <c r="Z15" s="1" t="s">
        <v>433</v>
      </c>
      <c r="AB15" s="21">
        <v>13</v>
      </c>
      <c r="AC15" s="27" t="s">
        <v>554</v>
      </c>
      <c r="AD15" s="1" t="s">
        <v>567</v>
      </c>
      <c r="AG15" s="21">
        <v>203</v>
      </c>
      <c r="AH15" s="27" t="s">
        <v>803</v>
      </c>
      <c r="AI15" s="1" t="s">
        <v>810</v>
      </c>
    </row>
    <row r="16" spans="1:35">
      <c r="A16" s="21">
        <v>14</v>
      </c>
      <c r="B16" s="19" t="s">
        <v>240</v>
      </c>
      <c r="C16" s="1"/>
      <c r="D16" s="1"/>
      <c r="F16" s="21">
        <v>14</v>
      </c>
      <c r="G16" s="19" t="s">
        <v>263</v>
      </c>
      <c r="H16" s="1"/>
      <c r="I16" s="1"/>
      <c r="K16" s="21">
        <v>14</v>
      </c>
      <c r="L16" s="19" t="s">
        <v>489</v>
      </c>
      <c r="M16" s="1"/>
      <c r="N16" s="1"/>
      <c r="P16" s="21">
        <v>14</v>
      </c>
      <c r="Q16" s="27" t="s">
        <v>417</v>
      </c>
      <c r="R16" s="1" t="s">
        <v>774</v>
      </c>
      <c r="T16" s="99">
        <v>14</v>
      </c>
      <c r="U16" s="27" t="s">
        <v>1340</v>
      </c>
      <c r="V16" s="108"/>
      <c r="X16" s="21">
        <v>14</v>
      </c>
      <c r="Y16" s="28" t="s">
        <v>451</v>
      </c>
      <c r="Z16" s="1" t="s">
        <v>434</v>
      </c>
      <c r="AB16" s="21">
        <v>14</v>
      </c>
      <c r="AC16" s="27" t="s">
        <v>555</v>
      </c>
      <c r="AD16" s="1" t="s">
        <v>568</v>
      </c>
      <c r="AG16" s="21">
        <v>204</v>
      </c>
      <c r="AH16" s="27" t="s">
        <v>804</v>
      </c>
      <c r="AI16" s="1" t="s">
        <v>811</v>
      </c>
    </row>
    <row r="17" spans="1:35">
      <c r="A17" s="21">
        <v>15</v>
      </c>
      <c r="B17" s="19" t="s">
        <v>241</v>
      </c>
      <c r="C17" s="23" t="s">
        <v>252</v>
      </c>
      <c r="D17" s="1" t="s">
        <v>1190</v>
      </c>
      <c r="F17" s="21">
        <v>15</v>
      </c>
      <c r="G17" s="19" t="s">
        <v>264</v>
      </c>
      <c r="H17" s="1"/>
      <c r="I17" s="1"/>
      <c r="K17" s="21">
        <v>15</v>
      </c>
      <c r="L17" s="19" t="s">
        <v>490</v>
      </c>
      <c r="M17" s="1"/>
      <c r="N17" s="1"/>
      <c r="P17" s="21">
        <v>15</v>
      </c>
      <c r="Q17" s="27" t="s">
        <v>418</v>
      </c>
      <c r="R17" s="1" t="s">
        <v>401</v>
      </c>
      <c r="T17" s="99">
        <v>15</v>
      </c>
      <c r="U17" s="27" t="s">
        <v>1341</v>
      </c>
      <c r="V17" s="108"/>
      <c r="X17" s="21">
        <v>15</v>
      </c>
      <c r="Y17" s="28" t="s">
        <v>452</v>
      </c>
      <c r="Z17" s="1" t="s">
        <v>435</v>
      </c>
      <c r="AB17" s="21">
        <v>15</v>
      </c>
      <c r="AC17" s="27" t="s">
        <v>556</v>
      </c>
      <c r="AD17" s="1" t="s">
        <v>569</v>
      </c>
      <c r="AG17" s="21" t="s">
        <v>793</v>
      </c>
      <c r="AH17" s="27" t="s">
        <v>793</v>
      </c>
      <c r="AI17" s="1" t="s">
        <v>794</v>
      </c>
    </row>
    <row r="18" spans="1:35">
      <c r="A18" s="21">
        <v>16</v>
      </c>
      <c r="B18" s="19" t="s">
        <v>242</v>
      </c>
      <c r="C18" s="1"/>
      <c r="D18" s="1"/>
      <c r="F18" s="21">
        <v>16</v>
      </c>
      <c r="G18" s="19" t="s">
        <v>265</v>
      </c>
      <c r="H18" s="1"/>
      <c r="I18" s="1"/>
      <c r="K18" s="21">
        <v>16</v>
      </c>
      <c r="L18" s="19" t="s">
        <v>491</v>
      </c>
      <c r="M18" s="1"/>
      <c r="N18" s="1"/>
      <c r="P18" s="21">
        <v>16</v>
      </c>
      <c r="Q18" s="27" t="s">
        <v>419</v>
      </c>
      <c r="R18" s="1" t="s">
        <v>402</v>
      </c>
      <c r="T18" s="99">
        <v>16</v>
      </c>
      <c r="U18" s="27" t="s">
        <v>1342</v>
      </c>
      <c r="V18" s="108"/>
      <c r="X18" s="21">
        <v>16</v>
      </c>
      <c r="Y18" s="28" t="s">
        <v>453</v>
      </c>
      <c r="Z18" s="1" t="s">
        <v>436</v>
      </c>
      <c r="AB18" s="21">
        <v>16</v>
      </c>
      <c r="AC18" s="27" t="s">
        <v>557</v>
      </c>
      <c r="AD18" s="1" t="s">
        <v>570</v>
      </c>
      <c r="AG18" s="21" t="s">
        <v>793</v>
      </c>
      <c r="AH18" s="27" t="s">
        <v>793</v>
      </c>
      <c r="AI18" s="1" t="s">
        <v>794</v>
      </c>
    </row>
    <row r="19" spans="1:35">
      <c r="A19" s="21">
        <v>17</v>
      </c>
      <c r="B19" s="19" t="s">
        <v>243</v>
      </c>
      <c r="C19" s="1"/>
      <c r="D19" s="1"/>
      <c r="F19" s="21">
        <v>17</v>
      </c>
      <c r="G19" s="19" t="s">
        <v>266</v>
      </c>
      <c r="H19" s="1"/>
      <c r="I19" s="1"/>
      <c r="K19" s="21">
        <v>17</v>
      </c>
      <c r="L19" s="19" t="s">
        <v>492</v>
      </c>
      <c r="M19" s="1"/>
      <c r="N19" s="1"/>
      <c r="P19" s="21">
        <v>17</v>
      </c>
      <c r="Q19" s="27" t="s">
        <v>420</v>
      </c>
      <c r="R19" s="1" t="s">
        <v>403</v>
      </c>
      <c r="T19" s="99">
        <v>17</v>
      </c>
      <c r="U19" s="27" t="s">
        <v>1343</v>
      </c>
      <c r="V19" s="108"/>
      <c r="X19" s="21">
        <v>17</v>
      </c>
      <c r="Y19" s="28" t="s">
        <v>454</v>
      </c>
      <c r="Z19" s="1"/>
      <c r="AB19" s="21">
        <v>17</v>
      </c>
      <c r="AC19" s="27" t="s">
        <v>558</v>
      </c>
      <c r="AD19" s="1" t="s">
        <v>562</v>
      </c>
      <c r="AG19" s="21">
        <v>380</v>
      </c>
      <c r="AH19" s="27" t="s">
        <v>805</v>
      </c>
      <c r="AI19" s="1" t="s">
        <v>812</v>
      </c>
    </row>
    <row r="20" spans="1:35">
      <c r="A20" s="21">
        <v>18</v>
      </c>
      <c r="B20" s="19" t="s">
        <v>244</v>
      </c>
      <c r="C20" s="1"/>
      <c r="D20" s="1"/>
      <c r="F20" s="21">
        <v>18</v>
      </c>
      <c r="G20" s="19" t="s">
        <v>267</v>
      </c>
      <c r="H20" s="1"/>
      <c r="I20" s="1"/>
      <c r="K20" s="21">
        <v>18</v>
      </c>
      <c r="L20" s="19" t="s">
        <v>493</v>
      </c>
      <c r="M20" s="1"/>
      <c r="N20" s="1"/>
      <c r="P20" s="21">
        <v>18</v>
      </c>
      <c r="Q20" s="27" t="s">
        <v>421</v>
      </c>
      <c r="R20" s="1" t="s">
        <v>1184</v>
      </c>
      <c r="T20" s="99">
        <v>18</v>
      </c>
      <c r="U20" s="27" t="s">
        <v>1344</v>
      </c>
      <c r="V20" s="108"/>
      <c r="X20" s="21">
        <v>18</v>
      </c>
      <c r="Y20" s="28" t="s">
        <v>455</v>
      </c>
      <c r="Z20" s="1"/>
      <c r="AB20" s="21">
        <v>18</v>
      </c>
      <c r="AC20" s="27" t="s">
        <v>559</v>
      </c>
      <c r="AD20" s="1" t="s">
        <v>563</v>
      </c>
      <c r="AG20" s="21" t="s">
        <v>793</v>
      </c>
      <c r="AH20" s="27" t="s">
        <v>793</v>
      </c>
      <c r="AI20" s="1" t="s">
        <v>794</v>
      </c>
    </row>
    <row r="21" spans="1:35">
      <c r="A21" s="21">
        <v>19</v>
      </c>
      <c r="B21" s="19" t="s">
        <v>245</v>
      </c>
      <c r="C21" s="1"/>
      <c r="D21" s="1"/>
      <c r="F21" s="21">
        <v>19</v>
      </c>
      <c r="G21" s="19" t="s">
        <v>268</v>
      </c>
      <c r="H21" s="1"/>
      <c r="I21" s="1"/>
      <c r="K21" s="21">
        <v>19</v>
      </c>
      <c r="L21" s="19" t="s">
        <v>494</v>
      </c>
      <c r="M21" s="1"/>
      <c r="N21" s="1"/>
      <c r="P21" s="21">
        <v>19</v>
      </c>
      <c r="Q21" s="27" t="s">
        <v>422</v>
      </c>
      <c r="R21" s="1"/>
      <c r="T21" s="100">
        <v>19</v>
      </c>
      <c r="U21" s="101" t="s">
        <v>1345</v>
      </c>
      <c r="V21" s="109"/>
      <c r="X21" s="21">
        <v>19</v>
      </c>
      <c r="Y21" s="28" t="s">
        <v>456</v>
      </c>
      <c r="Z21" s="1"/>
      <c r="AB21" s="21">
        <v>19</v>
      </c>
      <c r="AC21" s="27" t="s">
        <v>560</v>
      </c>
      <c r="AD21" s="1" t="s">
        <v>564</v>
      </c>
      <c r="AG21" s="21" t="s">
        <v>793</v>
      </c>
      <c r="AH21" s="27" t="s">
        <v>793</v>
      </c>
      <c r="AI21" s="1" t="s">
        <v>794</v>
      </c>
    </row>
    <row r="22" spans="1:35">
      <c r="A22" s="21">
        <v>20</v>
      </c>
      <c r="B22" s="19" t="s">
        <v>246</v>
      </c>
      <c r="C22" s="20" t="s">
        <v>227</v>
      </c>
      <c r="D22" s="1" t="s">
        <v>229</v>
      </c>
      <c r="F22" s="21">
        <v>20</v>
      </c>
      <c r="G22" s="19" t="s">
        <v>269</v>
      </c>
      <c r="H22" s="20" t="s">
        <v>227</v>
      </c>
      <c r="I22" s="47" t="s">
        <v>1675</v>
      </c>
      <c r="K22" s="21">
        <v>20</v>
      </c>
      <c r="L22" s="19" t="s">
        <v>495</v>
      </c>
      <c r="M22" s="20" t="s">
        <v>227</v>
      </c>
      <c r="N22" s="1" t="s">
        <v>230</v>
      </c>
      <c r="Q22" s="25"/>
      <c r="V22" t="s">
        <v>1354</v>
      </c>
      <c r="X22" s="22"/>
      <c r="Y22" s="29"/>
      <c r="AB22" s="21">
        <v>20</v>
      </c>
      <c r="AC22" s="27" t="s">
        <v>572</v>
      </c>
      <c r="AD22" s="1" t="s">
        <v>579</v>
      </c>
      <c r="AG22" s="21">
        <v>400</v>
      </c>
      <c r="AH22" s="27" t="s">
        <v>806</v>
      </c>
      <c r="AI22" s="1" t="s">
        <v>794</v>
      </c>
    </row>
    <row r="23" spans="1:35">
      <c r="A23" s="21">
        <v>21</v>
      </c>
      <c r="B23" s="19" t="s">
        <v>247</v>
      </c>
      <c r="C23" s="20" t="s">
        <v>227</v>
      </c>
      <c r="D23" s="1" t="s">
        <v>232</v>
      </c>
      <c r="F23" s="21">
        <v>21</v>
      </c>
      <c r="G23" s="19" t="s">
        <v>1049</v>
      </c>
      <c r="H23" s="20" t="s">
        <v>227</v>
      </c>
      <c r="I23" s="39" t="s">
        <v>228</v>
      </c>
      <c r="K23" s="21">
        <v>21</v>
      </c>
      <c r="L23" s="19" t="s">
        <v>496</v>
      </c>
      <c r="M23" s="20" t="s">
        <v>227</v>
      </c>
      <c r="N23" s="106" t="s">
        <v>1651</v>
      </c>
      <c r="Q23" s="25"/>
      <c r="X23" s="22"/>
      <c r="Y23" s="29"/>
      <c r="Z23" s="26" t="s">
        <v>404</v>
      </c>
      <c r="AB23" s="21">
        <v>21</v>
      </c>
      <c r="AC23" s="27" t="s">
        <v>573</v>
      </c>
      <c r="AD23" s="1" t="s">
        <v>580</v>
      </c>
    </row>
    <row r="24" spans="1:35">
      <c r="A24" s="21">
        <v>22</v>
      </c>
      <c r="B24" s="19" t="s">
        <v>248</v>
      </c>
      <c r="C24" s="20" t="s">
        <v>227</v>
      </c>
      <c r="D24" s="1" t="s">
        <v>233</v>
      </c>
      <c r="F24" s="21">
        <v>22</v>
      </c>
      <c r="G24" s="19" t="s">
        <v>270</v>
      </c>
      <c r="H24" s="20" t="s">
        <v>227</v>
      </c>
      <c r="I24" s="65" t="s">
        <v>781</v>
      </c>
      <c r="K24" s="21">
        <v>22</v>
      </c>
      <c r="L24" s="19" t="s">
        <v>497</v>
      </c>
      <c r="M24" s="20" t="s">
        <v>227</v>
      </c>
      <c r="N24" s="106" t="s">
        <v>1652</v>
      </c>
      <c r="Q24" s="25"/>
      <c r="V24" s="1" t="s">
        <v>1346</v>
      </c>
      <c r="AB24" s="21">
        <v>22</v>
      </c>
      <c r="AC24" s="27" t="s">
        <v>574</v>
      </c>
      <c r="AD24" s="1" t="s">
        <v>581</v>
      </c>
    </row>
    <row r="25" spans="1:35">
      <c r="A25" s="21">
        <v>23</v>
      </c>
      <c r="B25" s="19" t="s">
        <v>1042</v>
      </c>
      <c r="C25" s="20" t="s">
        <v>227</v>
      </c>
      <c r="D25" s="1" t="s">
        <v>1043</v>
      </c>
      <c r="F25" s="21">
        <v>23</v>
      </c>
      <c r="G25" s="19" t="s">
        <v>271</v>
      </c>
      <c r="H25" s="20" t="s">
        <v>227</v>
      </c>
      <c r="I25" s="66" t="s">
        <v>781</v>
      </c>
      <c r="K25" s="21">
        <v>23</v>
      </c>
      <c r="L25" s="19" t="s">
        <v>498</v>
      </c>
      <c r="M25" s="20" t="s">
        <v>227</v>
      </c>
      <c r="N25" s="106" t="s">
        <v>1656</v>
      </c>
      <c r="Q25" s="25"/>
      <c r="V25" s="1" t="s">
        <v>1347</v>
      </c>
      <c r="AB25" s="21">
        <v>23</v>
      </c>
      <c r="AC25" s="27" t="s">
        <v>575</v>
      </c>
      <c r="AD25" s="1" t="s">
        <v>582</v>
      </c>
    </row>
    <row r="26" spans="1:35">
      <c r="A26" s="21">
        <v>24</v>
      </c>
      <c r="B26" s="19" t="s">
        <v>249</v>
      </c>
      <c r="C26" s="20" t="s">
        <v>227</v>
      </c>
      <c r="D26" s="1" t="s">
        <v>1044</v>
      </c>
      <c r="F26" s="21">
        <v>24</v>
      </c>
      <c r="G26" s="19" t="s">
        <v>272</v>
      </c>
      <c r="H26" s="20" t="s">
        <v>227</v>
      </c>
      <c r="I26" s="64" t="s">
        <v>790</v>
      </c>
      <c r="K26" s="21">
        <v>24</v>
      </c>
      <c r="L26" s="19" t="s">
        <v>499</v>
      </c>
      <c r="M26" s="20" t="s">
        <v>227</v>
      </c>
      <c r="N26" s="113" t="s">
        <v>1657</v>
      </c>
      <c r="Q26" s="25"/>
      <c r="V26" s="1" t="s">
        <v>1348</v>
      </c>
      <c r="AB26" s="21">
        <v>24</v>
      </c>
      <c r="AC26" s="27" t="s">
        <v>576</v>
      </c>
      <c r="AD26" s="1" t="s">
        <v>583</v>
      </c>
    </row>
    <row r="27" spans="1:35">
      <c r="A27" s="21">
        <v>25</v>
      </c>
      <c r="B27" s="19" t="s">
        <v>250</v>
      </c>
      <c r="C27" s="20" t="s">
        <v>227</v>
      </c>
      <c r="D27" s="1" t="s">
        <v>1045</v>
      </c>
      <c r="F27" s="21">
        <v>25</v>
      </c>
      <c r="G27" s="19" t="s">
        <v>273</v>
      </c>
      <c r="H27" s="20" t="s">
        <v>227</v>
      </c>
      <c r="I27" s="64" t="s">
        <v>790</v>
      </c>
      <c r="K27" s="21">
        <v>25</v>
      </c>
      <c r="L27" s="19" t="s">
        <v>500</v>
      </c>
      <c r="M27" s="103" t="s">
        <v>227</v>
      </c>
      <c r="N27" s="113" t="s">
        <v>1658</v>
      </c>
      <c r="Q27" s="25"/>
      <c r="V27" s="1" t="s">
        <v>1349</v>
      </c>
      <c r="AB27" s="21">
        <v>25</v>
      </c>
      <c r="AC27" s="31" t="s">
        <v>577</v>
      </c>
      <c r="AD27" s="1" t="s">
        <v>584</v>
      </c>
    </row>
    <row r="28" spans="1:35">
      <c r="A28" s="21">
        <v>26</v>
      </c>
      <c r="B28" s="19" t="s">
        <v>251</v>
      </c>
      <c r="C28" s="20" t="s">
        <v>227</v>
      </c>
      <c r="D28" s="1" t="s">
        <v>1046</v>
      </c>
      <c r="F28" s="21">
        <v>26</v>
      </c>
      <c r="G28" s="19" t="s">
        <v>274</v>
      </c>
      <c r="H28" s="20" t="s">
        <v>227</v>
      </c>
      <c r="I28" s="63" t="s">
        <v>1050</v>
      </c>
      <c r="K28" s="21">
        <v>26</v>
      </c>
      <c r="L28" s="19" t="s">
        <v>501</v>
      </c>
      <c r="M28" s="20" t="s">
        <v>227</v>
      </c>
      <c r="N28" s="85" t="s">
        <v>231</v>
      </c>
      <c r="Q28" s="25"/>
      <c r="V28" s="1" t="s">
        <v>1350</v>
      </c>
      <c r="AB28" s="21">
        <v>26</v>
      </c>
      <c r="AC28" s="31" t="s">
        <v>636</v>
      </c>
      <c r="AD28" s="1" t="s">
        <v>585</v>
      </c>
    </row>
    <row r="29" spans="1:35">
      <c r="A29" s="21">
        <v>27</v>
      </c>
      <c r="B29" s="19" t="s">
        <v>284</v>
      </c>
      <c r="C29" s="20" t="s">
        <v>227</v>
      </c>
      <c r="D29" s="1" t="s">
        <v>1047</v>
      </c>
      <c r="F29" s="21">
        <v>27</v>
      </c>
      <c r="G29" s="19" t="s">
        <v>275</v>
      </c>
      <c r="H29" s="20" t="s">
        <v>227</v>
      </c>
      <c r="I29" s="63" t="s">
        <v>1050</v>
      </c>
      <c r="K29" s="21">
        <v>27</v>
      </c>
      <c r="L29" s="19" t="s">
        <v>502</v>
      </c>
      <c r="M29" s="20" t="s">
        <v>227</v>
      </c>
      <c r="N29" s="1" t="s">
        <v>1056</v>
      </c>
      <c r="Q29" s="25"/>
      <c r="V29" s="1" t="s">
        <v>1351</v>
      </c>
      <c r="AB29" s="21">
        <v>27</v>
      </c>
      <c r="AC29" s="31" t="s">
        <v>637</v>
      </c>
      <c r="AD29" s="1" t="s">
        <v>586</v>
      </c>
    </row>
    <row r="30" spans="1:35">
      <c r="A30" s="21">
        <v>28</v>
      </c>
      <c r="B30" s="19" t="s">
        <v>285</v>
      </c>
      <c r="C30" s="20" t="s">
        <v>227</v>
      </c>
      <c r="D30" s="1" t="s">
        <v>1048</v>
      </c>
      <c r="F30" s="21">
        <v>28</v>
      </c>
      <c r="G30" s="19" t="s">
        <v>276</v>
      </c>
      <c r="H30" s="20" t="s">
        <v>227</v>
      </c>
      <c r="I30" s="39"/>
      <c r="K30" s="21">
        <v>28</v>
      </c>
      <c r="L30" s="19" t="s">
        <v>503</v>
      </c>
      <c r="M30" s="20" t="s">
        <v>227</v>
      </c>
      <c r="N30" s="1" t="s">
        <v>1057</v>
      </c>
      <c r="Q30" s="25"/>
      <c r="V30" s="1" t="s">
        <v>1352</v>
      </c>
      <c r="AB30" s="21">
        <v>28</v>
      </c>
      <c r="AC30" s="27" t="s">
        <v>638</v>
      </c>
      <c r="AD30" s="1" t="s">
        <v>587</v>
      </c>
    </row>
    <row r="31" spans="1:35">
      <c r="A31" s="21">
        <v>29</v>
      </c>
      <c r="B31" s="19" t="s">
        <v>286</v>
      </c>
      <c r="C31" s="20" t="s">
        <v>227</v>
      </c>
      <c r="D31" s="1" t="s">
        <v>1138</v>
      </c>
      <c r="F31" s="21">
        <v>29</v>
      </c>
      <c r="G31" s="19" t="s">
        <v>277</v>
      </c>
      <c r="H31" s="20" t="s">
        <v>227</v>
      </c>
      <c r="I31" s="39"/>
      <c r="K31" s="21">
        <v>29</v>
      </c>
      <c r="L31" s="19" t="s">
        <v>504</v>
      </c>
      <c r="M31" s="20" t="s">
        <v>227</v>
      </c>
      <c r="N31" s="1" t="s">
        <v>1058</v>
      </c>
      <c r="Q31" s="25"/>
      <c r="V31" s="1" t="s">
        <v>1352</v>
      </c>
      <c r="AB31" s="21">
        <v>29</v>
      </c>
      <c r="AC31" s="27" t="s">
        <v>639</v>
      </c>
      <c r="AD31" s="1" t="s">
        <v>588</v>
      </c>
    </row>
    <row r="32" spans="1:35">
      <c r="A32" s="21">
        <v>30</v>
      </c>
      <c r="B32" s="19" t="s">
        <v>287</v>
      </c>
      <c r="C32" s="20" t="s">
        <v>227</v>
      </c>
      <c r="D32" s="1" t="s">
        <v>1169</v>
      </c>
      <c r="F32" s="21">
        <v>30</v>
      </c>
      <c r="G32" s="19" t="s">
        <v>298</v>
      </c>
      <c r="H32" s="20" t="s">
        <v>227</v>
      </c>
      <c r="I32" s="1"/>
      <c r="K32" s="21">
        <v>30</v>
      </c>
      <c r="L32" s="19" t="s">
        <v>505</v>
      </c>
      <c r="M32" s="20" t="s">
        <v>227</v>
      </c>
      <c r="N32" s="1" t="s">
        <v>1059</v>
      </c>
      <c r="Q32" s="25"/>
      <c r="V32" s="1" t="s">
        <v>1352</v>
      </c>
      <c r="AB32" s="21">
        <v>30</v>
      </c>
      <c r="AC32" s="27" t="s">
        <v>640</v>
      </c>
      <c r="AD32" s="1" t="s">
        <v>589</v>
      </c>
    </row>
    <row r="33" spans="1:30">
      <c r="A33" s="21">
        <v>31</v>
      </c>
      <c r="B33" s="19" t="s">
        <v>288</v>
      </c>
      <c r="C33" s="20" t="s">
        <v>227</v>
      </c>
      <c r="D33" s="1" t="s">
        <v>1139</v>
      </c>
      <c r="F33" s="21">
        <v>31</v>
      </c>
      <c r="G33" s="19" t="s">
        <v>299</v>
      </c>
      <c r="H33" s="20" t="s">
        <v>227</v>
      </c>
      <c r="I33" s="1"/>
      <c r="K33" s="21">
        <v>31</v>
      </c>
      <c r="L33" s="19" t="s">
        <v>506</v>
      </c>
      <c r="M33" s="20" t="s">
        <v>227</v>
      </c>
      <c r="N33" s="1" t="s">
        <v>1035</v>
      </c>
      <c r="Q33" s="25"/>
      <c r="AB33" s="21">
        <v>31</v>
      </c>
      <c r="AC33" s="27" t="s">
        <v>641</v>
      </c>
      <c r="AD33" s="1" t="s">
        <v>590</v>
      </c>
    </row>
    <row r="34" spans="1:30">
      <c r="A34" s="21">
        <v>32</v>
      </c>
      <c r="B34" s="19" t="s">
        <v>289</v>
      </c>
      <c r="C34" s="20" t="s">
        <v>227</v>
      </c>
      <c r="D34" s="40" t="s">
        <v>1170</v>
      </c>
      <c r="F34" s="21">
        <v>32</v>
      </c>
      <c r="G34" s="19" t="s">
        <v>300</v>
      </c>
      <c r="H34" s="20" t="s">
        <v>227</v>
      </c>
      <c r="I34" s="1"/>
      <c r="K34" s="21">
        <v>32</v>
      </c>
      <c r="L34" s="19" t="s">
        <v>507</v>
      </c>
      <c r="M34" s="20" t="s">
        <v>227</v>
      </c>
      <c r="N34" s="1" t="s">
        <v>1201</v>
      </c>
      <c r="Q34" s="25"/>
      <c r="AB34" s="21">
        <v>32</v>
      </c>
      <c r="AC34" s="27" t="s">
        <v>642</v>
      </c>
      <c r="AD34" s="1" t="s">
        <v>591</v>
      </c>
    </row>
    <row r="35" spans="1:30">
      <c r="A35" s="21">
        <v>33</v>
      </c>
      <c r="B35" s="19" t="s">
        <v>290</v>
      </c>
      <c r="C35" s="20" t="s">
        <v>227</v>
      </c>
      <c r="D35" s="1" t="s">
        <v>1171</v>
      </c>
      <c r="F35" s="21">
        <v>33</v>
      </c>
      <c r="G35" s="19" t="s">
        <v>301</v>
      </c>
      <c r="H35" s="1"/>
      <c r="I35" s="1"/>
      <c r="K35" s="21">
        <v>33</v>
      </c>
      <c r="L35" s="19" t="s">
        <v>508</v>
      </c>
      <c r="M35" s="20" t="s">
        <v>227</v>
      </c>
      <c r="N35" s="1" t="s">
        <v>1202</v>
      </c>
      <c r="Q35" s="25"/>
      <c r="AB35" s="21">
        <v>33</v>
      </c>
      <c r="AC35" s="27" t="s">
        <v>643</v>
      </c>
      <c r="AD35" s="1" t="s">
        <v>592</v>
      </c>
    </row>
    <row r="36" spans="1:30">
      <c r="A36" s="21">
        <v>34</v>
      </c>
      <c r="B36" s="19" t="s">
        <v>291</v>
      </c>
      <c r="C36" s="20" t="s">
        <v>227</v>
      </c>
      <c r="D36" s="40" t="s">
        <v>1172</v>
      </c>
      <c r="F36" s="21">
        <v>34</v>
      </c>
      <c r="G36" s="19" t="s">
        <v>302</v>
      </c>
      <c r="H36" s="1"/>
      <c r="I36" s="1"/>
      <c r="K36" s="21">
        <v>34</v>
      </c>
      <c r="L36" s="19" t="s">
        <v>509</v>
      </c>
      <c r="M36" s="20" t="s">
        <v>227</v>
      </c>
      <c r="N36" s="1" t="s">
        <v>1203</v>
      </c>
      <c r="Q36" s="25"/>
      <c r="AB36" s="29"/>
      <c r="AC36" s="32"/>
    </row>
    <row r="37" spans="1:30">
      <c r="A37" s="21">
        <v>35</v>
      </c>
      <c r="B37" s="19" t="s">
        <v>292</v>
      </c>
      <c r="C37" s="20" t="s">
        <v>227</v>
      </c>
      <c r="D37" s="1" t="s">
        <v>1173</v>
      </c>
      <c r="F37" s="21">
        <v>35</v>
      </c>
      <c r="G37" s="19" t="s">
        <v>303</v>
      </c>
      <c r="H37" s="1"/>
      <c r="I37" s="1"/>
      <c r="K37" s="21">
        <v>35</v>
      </c>
      <c r="L37" s="19" t="s">
        <v>1292</v>
      </c>
      <c r="M37" s="20" t="s">
        <v>227</v>
      </c>
      <c r="N37" s="1" t="s">
        <v>1204</v>
      </c>
      <c r="AB37" s="29"/>
      <c r="AC37" s="32"/>
    </row>
    <row r="38" spans="1:30">
      <c r="A38" s="21">
        <v>36</v>
      </c>
      <c r="B38" s="19" t="s">
        <v>293</v>
      </c>
      <c r="C38" s="20" t="s">
        <v>227</v>
      </c>
      <c r="D38" s="1" t="s">
        <v>1174</v>
      </c>
      <c r="F38" s="21">
        <v>36</v>
      </c>
      <c r="G38" s="19" t="s">
        <v>304</v>
      </c>
      <c r="H38" s="1"/>
      <c r="I38" s="1"/>
      <c r="K38" s="21">
        <v>36</v>
      </c>
      <c r="L38" s="19" t="s">
        <v>510</v>
      </c>
      <c r="M38" s="1"/>
      <c r="N38" s="106" t="s">
        <v>1659</v>
      </c>
      <c r="AB38" s="29"/>
      <c r="AC38" s="32"/>
    </row>
    <row r="39" spans="1:30">
      <c r="A39" s="21">
        <v>37</v>
      </c>
      <c r="B39" s="19" t="s">
        <v>294</v>
      </c>
      <c r="C39" s="20" t="s">
        <v>227</v>
      </c>
      <c r="D39" s="1" t="s">
        <v>1175</v>
      </c>
      <c r="F39" s="21">
        <v>37</v>
      </c>
      <c r="G39" s="19" t="s">
        <v>305</v>
      </c>
      <c r="H39" s="1"/>
      <c r="I39" s="1"/>
      <c r="K39" s="21">
        <v>37</v>
      </c>
      <c r="L39" s="19" t="s">
        <v>511</v>
      </c>
      <c r="M39" s="1"/>
      <c r="N39" s="106" t="s">
        <v>1653</v>
      </c>
      <c r="AB39" s="29"/>
      <c r="AC39" s="32"/>
    </row>
    <row r="40" spans="1:30">
      <c r="A40" s="21">
        <v>38</v>
      </c>
      <c r="B40" s="19" t="s">
        <v>295</v>
      </c>
      <c r="C40" s="20" t="s">
        <v>227</v>
      </c>
      <c r="D40" s="1" t="s">
        <v>1176</v>
      </c>
      <c r="F40" s="21">
        <v>38</v>
      </c>
      <c r="G40" s="19" t="s">
        <v>306</v>
      </c>
      <c r="H40" s="1"/>
      <c r="I40" s="1"/>
      <c r="K40" s="21">
        <v>38</v>
      </c>
      <c r="L40" s="19" t="s">
        <v>512</v>
      </c>
      <c r="M40" s="1"/>
      <c r="N40" s="106" t="s">
        <v>1654</v>
      </c>
      <c r="AB40" s="29"/>
      <c r="AC40" s="32"/>
    </row>
    <row r="41" spans="1:30">
      <c r="A41" s="21">
        <v>39</v>
      </c>
      <c r="B41" s="19" t="s">
        <v>296</v>
      </c>
      <c r="C41" s="20" t="s">
        <v>227</v>
      </c>
      <c r="D41" s="1" t="s">
        <v>1177</v>
      </c>
      <c r="F41" s="21">
        <v>39</v>
      </c>
      <c r="G41" s="19" t="s">
        <v>307</v>
      </c>
      <c r="H41" s="1"/>
      <c r="I41" s="1"/>
      <c r="K41" s="21">
        <v>39</v>
      </c>
      <c r="L41" s="19" t="s">
        <v>514</v>
      </c>
      <c r="M41" s="1"/>
      <c r="N41" s="106" t="s">
        <v>1655</v>
      </c>
      <c r="R41" s="26" t="s">
        <v>404</v>
      </c>
      <c r="AB41" s="29"/>
      <c r="AC41" s="32"/>
    </row>
    <row r="42" spans="1:30">
      <c r="A42" s="21">
        <v>40</v>
      </c>
      <c r="B42" s="19" t="s">
        <v>297</v>
      </c>
      <c r="C42" s="23" t="s">
        <v>252</v>
      </c>
      <c r="D42" s="1" t="s">
        <v>253</v>
      </c>
      <c r="F42" s="21">
        <v>40</v>
      </c>
      <c r="G42" s="19" t="s">
        <v>308</v>
      </c>
      <c r="H42" s="23" t="s">
        <v>252</v>
      </c>
      <c r="I42" s="1" t="s">
        <v>540</v>
      </c>
      <c r="K42" s="21">
        <v>40</v>
      </c>
      <c r="L42" s="19" t="s">
        <v>515</v>
      </c>
      <c r="M42" s="1"/>
      <c r="N42" s="112" t="s">
        <v>1554</v>
      </c>
      <c r="R42" t="s">
        <v>471</v>
      </c>
      <c r="AB42" s="29"/>
      <c r="AC42" s="32"/>
    </row>
    <row r="43" spans="1:30">
      <c r="A43" s="21">
        <v>41</v>
      </c>
      <c r="B43" s="19" t="s">
        <v>317</v>
      </c>
      <c r="C43" s="23" t="s">
        <v>252</v>
      </c>
      <c r="D43" s="1" t="s">
        <v>1182</v>
      </c>
      <c r="F43" s="21">
        <v>41</v>
      </c>
      <c r="G43" s="19" t="s">
        <v>353</v>
      </c>
      <c r="H43" s="1"/>
      <c r="I43" s="1"/>
      <c r="K43" s="21">
        <v>41</v>
      </c>
      <c r="L43" s="19" t="s">
        <v>516</v>
      </c>
      <c r="M43" s="1"/>
      <c r="AB43" s="29"/>
      <c r="AC43" s="32"/>
    </row>
    <row r="44" spans="1:30">
      <c r="A44" s="21">
        <v>42</v>
      </c>
      <c r="B44" s="19" t="s">
        <v>318</v>
      </c>
      <c r="C44" s="23" t="s">
        <v>252</v>
      </c>
      <c r="D44" s="1" t="s">
        <v>254</v>
      </c>
      <c r="F44" s="21">
        <v>42</v>
      </c>
      <c r="G44" s="19" t="s">
        <v>354</v>
      </c>
      <c r="H44" s="1"/>
      <c r="I44" s="1"/>
      <c r="K44" s="21">
        <v>42</v>
      </c>
      <c r="L44" s="19" t="s">
        <v>517</v>
      </c>
      <c r="M44" s="1"/>
      <c r="N44" s="1"/>
      <c r="AC44" s="32"/>
    </row>
    <row r="45" spans="1:30">
      <c r="A45" s="21">
        <v>43</v>
      </c>
      <c r="B45" s="19" t="s">
        <v>319</v>
      </c>
      <c r="C45" s="23" t="s">
        <v>252</v>
      </c>
      <c r="D45" s="1" t="s">
        <v>255</v>
      </c>
      <c r="F45" s="21">
        <v>43</v>
      </c>
      <c r="G45" s="19" t="s">
        <v>355</v>
      </c>
      <c r="H45" s="1"/>
      <c r="I45" s="1"/>
      <c r="K45" s="21">
        <v>43</v>
      </c>
      <c r="L45" s="19" t="s">
        <v>518</v>
      </c>
      <c r="M45" s="1"/>
      <c r="N45" s="1"/>
    </row>
    <row r="46" spans="1:30">
      <c r="A46" s="21">
        <v>44</v>
      </c>
      <c r="B46" s="19" t="s">
        <v>320</v>
      </c>
      <c r="C46" s="23" t="s">
        <v>252</v>
      </c>
      <c r="D46" s="1" t="s">
        <v>1153</v>
      </c>
      <c r="F46" s="21">
        <v>44</v>
      </c>
      <c r="G46" s="19" t="s">
        <v>356</v>
      </c>
      <c r="H46" s="1"/>
      <c r="I46" s="1"/>
      <c r="K46" s="21">
        <v>44</v>
      </c>
      <c r="L46" s="19" t="s">
        <v>519</v>
      </c>
      <c r="M46" s="1"/>
      <c r="N46" s="1"/>
    </row>
    <row r="47" spans="1:30">
      <c r="A47" s="21">
        <v>45</v>
      </c>
      <c r="B47" s="19" t="s">
        <v>321</v>
      </c>
      <c r="C47" s="23" t="s">
        <v>252</v>
      </c>
      <c r="D47" s="1" t="s">
        <v>256</v>
      </c>
      <c r="F47" s="21">
        <v>45</v>
      </c>
      <c r="G47" s="19" t="s">
        <v>357</v>
      </c>
      <c r="H47" s="1"/>
      <c r="I47" s="1"/>
      <c r="K47" s="21">
        <v>45</v>
      </c>
      <c r="L47" s="19" t="s">
        <v>520</v>
      </c>
      <c r="M47" s="1"/>
      <c r="N47" s="1"/>
    </row>
    <row r="48" spans="1:30">
      <c r="A48" s="21">
        <v>46</v>
      </c>
      <c r="B48" s="19" t="s">
        <v>322</v>
      </c>
      <c r="C48" s="23" t="s">
        <v>252</v>
      </c>
      <c r="D48" s="1" t="s">
        <v>539</v>
      </c>
      <c r="F48" s="21">
        <v>46</v>
      </c>
      <c r="G48" s="19" t="s">
        <v>358</v>
      </c>
      <c r="H48" s="1"/>
      <c r="I48" s="1"/>
      <c r="K48" s="21">
        <v>46</v>
      </c>
      <c r="L48" s="19" t="s">
        <v>521</v>
      </c>
      <c r="M48" s="1"/>
      <c r="N48" s="1"/>
    </row>
    <row r="49" spans="1:14">
      <c r="A49" s="21">
        <v>47</v>
      </c>
      <c r="B49" s="19" t="s">
        <v>323</v>
      </c>
      <c r="C49" s="23" t="s">
        <v>252</v>
      </c>
      <c r="D49" s="1" t="s">
        <v>279</v>
      </c>
      <c r="F49" s="21">
        <v>47</v>
      </c>
      <c r="G49" s="19" t="s">
        <v>359</v>
      </c>
      <c r="H49" s="1"/>
      <c r="I49" s="1"/>
      <c r="K49" s="21">
        <v>47</v>
      </c>
      <c r="L49" s="19" t="s">
        <v>522</v>
      </c>
      <c r="M49" s="1"/>
      <c r="N49" s="1"/>
    </row>
    <row r="50" spans="1:14">
      <c r="A50" s="21">
        <v>48</v>
      </c>
      <c r="B50" s="19" t="s">
        <v>324</v>
      </c>
      <c r="C50" s="23" t="s">
        <v>252</v>
      </c>
      <c r="D50" s="1" t="s">
        <v>523</v>
      </c>
      <c r="F50" s="21">
        <v>48</v>
      </c>
      <c r="G50" s="19" t="s">
        <v>360</v>
      </c>
      <c r="H50" s="1"/>
      <c r="I50" s="1"/>
      <c r="K50" s="21">
        <v>48</v>
      </c>
      <c r="L50" s="19" t="s">
        <v>526</v>
      </c>
      <c r="M50" s="1"/>
      <c r="N50" s="1"/>
    </row>
    <row r="51" spans="1:14">
      <c r="A51" s="21">
        <v>49</v>
      </c>
      <c r="B51" s="19" t="s">
        <v>325</v>
      </c>
      <c r="C51" s="23" t="s">
        <v>252</v>
      </c>
      <c r="D51" s="1" t="s">
        <v>524</v>
      </c>
      <c r="F51" s="21">
        <v>49</v>
      </c>
      <c r="G51" s="19" t="s">
        <v>361</v>
      </c>
      <c r="H51" s="1"/>
      <c r="I51" s="1"/>
      <c r="K51" s="21">
        <v>49</v>
      </c>
      <c r="L51" s="19" t="s">
        <v>527</v>
      </c>
      <c r="M51" s="1"/>
      <c r="N51" s="1"/>
    </row>
    <row r="52" spans="1:14">
      <c r="A52" s="21">
        <v>50</v>
      </c>
      <c r="B52" s="19" t="s">
        <v>326</v>
      </c>
      <c r="C52" s="23" t="s">
        <v>252</v>
      </c>
      <c r="D52" s="1" t="s">
        <v>525</v>
      </c>
      <c r="F52" s="21">
        <v>50</v>
      </c>
      <c r="G52" s="19" t="s">
        <v>362</v>
      </c>
      <c r="H52" s="23" t="s">
        <v>252</v>
      </c>
      <c r="I52" s="1" t="s">
        <v>539</v>
      </c>
      <c r="K52" s="21">
        <v>50</v>
      </c>
      <c r="L52" s="19" t="s">
        <v>528</v>
      </c>
      <c r="M52" s="23" t="s">
        <v>252</v>
      </c>
      <c r="N52" s="1" t="s">
        <v>1034</v>
      </c>
    </row>
    <row r="53" spans="1:14">
      <c r="A53" s="21">
        <v>51</v>
      </c>
      <c r="B53" s="19" t="s">
        <v>1558</v>
      </c>
      <c r="C53" s="23" t="s">
        <v>252</v>
      </c>
      <c r="D53" s="1" t="s">
        <v>280</v>
      </c>
      <c r="F53" s="21">
        <v>51</v>
      </c>
      <c r="G53" s="19" t="s">
        <v>363</v>
      </c>
      <c r="H53" s="1"/>
      <c r="I53" s="1"/>
      <c r="K53" s="21">
        <v>51</v>
      </c>
      <c r="L53" s="19" t="s">
        <v>791</v>
      </c>
      <c r="M53" s="23" t="s">
        <v>252</v>
      </c>
      <c r="N53" s="1" t="s">
        <v>278</v>
      </c>
    </row>
    <row r="54" spans="1:14">
      <c r="A54" s="21">
        <v>52</v>
      </c>
      <c r="B54" s="19" t="s">
        <v>327</v>
      </c>
      <c r="C54" s="23" t="s">
        <v>252</v>
      </c>
      <c r="D54" s="1" t="s">
        <v>472</v>
      </c>
      <c r="F54" s="21">
        <v>52</v>
      </c>
      <c r="G54" s="19" t="s">
        <v>364</v>
      </c>
      <c r="H54" s="1"/>
      <c r="I54" s="1"/>
      <c r="K54" s="21">
        <v>52</v>
      </c>
      <c r="L54" s="19" t="s">
        <v>529</v>
      </c>
      <c r="M54" s="23" t="s">
        <v>252</v>
      </c>
      <c r="N54" s="1" t="s">
        <v>281</v>
      </c>
    </row>
    <row r="55" spans="1:14">
      <c r="A55" s="21">
        <v>53</v>
      </c>
      <c r="B55" s="19" t="s">
        <v>328</v>
      </c>
      <c r="C55" s="23" t="s">
        <v>252</v>
      </c>
      <c r="D55" s="1" t="s">
        <v>473</v>
      </c>
      <c r="F55" s="21">
        <v>53</v>
      </c>
      <c r="G55" s="19" t="s">
        <v>365</v>
      </c>
      <c r="H55" s="1"/>
      <c r="I55" s="1"/>
      <c r="K55" s="21">
        <v>53</v>
      </c>
      <c r="L55" s="19" t="s">
        <v>530</v>
      </c>
      <c r="M55" s="23" t="s">
        <v>252</v>
      </c>
      <c r="N55" s="1" t="s">
        <v>282</v>
      </c>
    </row>
    <row r="56" spans="1:14">
      <c r="A56" s="21">
        <v>54</v>
      </c>
      <c r="B56" s="19" t="s">
        <v>329</v>
      </c>
      <c r="C56" s="23" t="s">
        <v>252</v>
      </c>
      <c r="D56" s="113" t="s">
        <v>1559</v>
      </c>
      <c r="F56" s="21">
        <v>54</v>
      </c>
      <c r="G56" s="19" t="s">
        <v>366</v>
      </c>
      <c r="H56" s="1"/>
      <c r="I56" s="1"/>
      <c r="K56" s="21">
        <v>54</v>
      </c>
      <c r="L56" s="19" t="s">
        <v>531</v>
      </c>
      <c r="M56" s="23" t="s">
        <v>252</v>
      </c>
      <c r="N56" s="1" t="s">
        <v>283</v>
      </c>
    </row>
    <row r="57" spans="1:14">
      <c r="A57" s="21">
        <v>55</v>
      </c>
      <c r="B57" s="81" t="s">
        <v>1557</v>
      </c>
      <c r="C57" s="87" t="s">
        <v>252</v>
      </c>
      <c r="D57" s="107" t="s">
        <v>1359</v>
      </c>
      <c r="F57" s="21">
        <v>55</v>
      </c>
      <c r="G57" s="19" t="s">
        <v>367</v>
      </c>
      <c r="H57" s="1"/>
      <c r="I57" s="1"/>
      <c r="K57" s="21">
        <v>55</v>
      </c>
      <c r="L57" s="19" t="s">
        <v>532</v>
      </c>
      <c r="M57" s="23" t="s">
        <v>252</v>
      </c>
      <c r="N57" s="44" t="s">
        <v>1018</v>
      </c>
    </row>
    <row r="58" spans="1:14">
      <c r="A58" s="21">
        <v>56</v>
      </c>
      <c r="B58" s="81" t="s">
        <v>330</v>
      </c>
      <c r="C58" s="88" t="s">
        <v>252</v>
      </c>
      <c r="D58" s="108" t="s">
        <v>1360</v>
      </c>
      <c r="F58" s="21">
        <v>56</v>
      </c>
      <c r="G58" s="19" t="s">
        <v>368</v>
      </c>
      <c r="H58" s="1"/>
      <c r="I58" s="1"/>
      <c r="K58" s="21">
        <v>56</v>
      </c>
      <c r="L58" s="19" t="s">
        <v>533</v>
      </c>
      <c r="M58" s="23" t="s">
        <v>252</v>
      </c>
      <c r="N58" s="44" t="s">
        <v>1019</v>
      </c>
    </row>
    <row r="59" spans="1:14">
      <c r="A59" s="21">
        <v>57</v>
      </c>
      <c r="B59" s="81" t="s">
        <v>331</v>
      </c>
      <c r="C59" s="88" t="s">
        <v>252</v>
      </c>
      <c r="D59" s="108" t="s">
        <v>1764</v>
      </c>
      <c r="F59" s="21">
        <v>57</v>
      </c>
      <c r="G59" s="19" t="s">
        <v>369</v>
      </c>
      <c r="H59" s="1"/>
      <c r="I59" s="1"/>
      <c r="K59" s="21">
        <v>57</v>
      </c>
      <c r="L59" s="19" t="s">
        <v>534</v>
      </c>
      <c r="M59" s="23" t="s">
        <v>252</v>
      </c>
      <c r="N59" s="106" t="s">
        <v>1556</v>
      </c>
    </row>
    <row r="60" spans="1:14">
      <c r="A60" s="21">
        <v>58</v>
      </c>
      <c r="B60" s="81" t="s">
        <v>332</v>
      </c>
      <c r="C60" s="89" t="s">
        <v>252</v>
      </c>
      <c r="D60" s="109"/>
      <c r="F60" s="21">
        <v>58</v>
      </c>
      <c r="G60" s="19" t="s">
        <v>370</v>
      </c>
      <c r="H60" s="1"/>
      <c r="I60" s="1"/>
      <c r="K60" s="21">
        <v>58</v>
      </c>
      <c r="L60" s="19" t="s">
        <v>535</v>
      </c>
      <c r="M60" s="23" t="s">
        <v>252</v>
      </c>
      <c r="N60" s="1"/>
    </row>
    <row r="61" spans="1:14">
      <c r="A61" s="21">
        <v>59</v>
      </c>
      <c r="B61" s="19" t="s">
        <v>333</v>
      </c>
      <c r="C61" s="86"/>
      <c r="D61" s="85"/>
      <c r="F61" s="21">
        <v>59</v>
      </c>
      <c r="G61" s="19" t="s">
        <v>371</v>
      </c>
      <c r="H61" s="1"/>
      <c r="I61" s="1"/>
      <c r="K61" s="21">
        <v>59</v>
      </c>
      <c r="L61" s="19" t="s">
        <v>536</v>
      </c>
      <c r="M61" s="23" t="s">
        <v>252</v>
      </c>
      <c r="N61" s="1"/>
    </row>
    <row r="62" spans="1:14">
      <c r="A62" s="21">
        <v>60</v>
      </c>
      <c r="B62" s="19" t="s">
        <v>1179</v>
      </c>
      <c r="C62" s="23" t="s">
        <v>252</v>
      </c>
      <c r="D62" s="1" t="s">
        <v>309</v>
      </c>
      <c r="F62" s="21">
        <v>60</v>
      </c>
      <c r="G62" s="19" t="s">
        <v>372</v>
      </c>
      <c r="H62" s="23" t="s">
        <v>252</v>
      </c>
      <c r="I62" s="1" t="s">
        <v>313</v>
      </c>
      <c r="K62" s="21">
        <v>60</v>
      </c>
      <c r="L62" s="19" t="s">
        <v>537</v>
      </c>
      <c r="M62" s="1"/>
      <c r="N62" s="1"/>
    </row>
    <row r="63" spans="1:14">
      <c r="A63" s="21">
        <v>61</v>
      </c>
      <c r="B63" s="19" t="s">
        <v>334</v>
      </c>
      <c r="C63" s="23" t="s">
        <v>252</v>
      </c>
      <c r="D63" s="1" t="s">
        <v>310</v>
      </c>
      <c r="F63" s="21">
        <v>61</v>
      </c>
      <c r="G63" s="19" t="s">
        <v>373</v>
      </c>
      <c r="H63" s="20" t="s">
        <v>227</v>
      </c>
      <c r="I63" s="1" t="s">
        <v>314</v>
      </c>
      <c r="K63" s="21">
        <v>61</v>
      </c>
      <c r="L63" s="19" t="s">
        <v>700</v>
      </c>
      <c r="M63" s="1"/>
      <c r="N63" s="1"/>
    </row>
    <row r="64" spans="1:14">
      <c r="A64" s="21">
        <v>62</v>
      </c>
      <c r="B64" s="19" t="s">
        <v>335</v>
      </c>
      <c r="C64" s="23" t="s">
        <v>252</v>
      </c>
      <c r="D64" s="1" t="s">
        <v>311</v>
      </c>
      <c r="F64" s="21">
        <v>62</v>
      </c>
      <c r="G64" s="19" t="s">
        <v>374</v>
      </c>
      <c r="H64" s="20" t="s">
        <v>227</v>
      </c>
      <c r="I64" s="1" t="s">
        <v>315</v>
      </c>
      <c r="K64" s="21">
        <v>62</v>
      </c>
      <c r="L64" s="19" t="s">
        <v>701</v>
      </c>
      <c r="M64" s="1"/>
      <c r="N64" s="1"/>
    </row>
    <row r="65" spans="1:14">
      <c r="A65" s="21">
        <v>63</v>
      </c>
      <c r="B65" s="19" t="s">
        <v>336</v>
      </c>
      <c r="C65" s="23" t="s">
        <v>252</v>
      </c>
      <c r="D65" s="1" t="s">
        <v>312</v>
      </c>
      <c r="F65" s="21">
        <v>63</v>
      </c>
      <c r="G65" s="19" t="s">
        <v>375</v>
      </c>
      <c r="H65" s="1"/>
      <c r="I65" s="1"/>
      <c r="K65" s="21">
        <v>63</v>
      </c>
      <c r="L65" s="19" t="s">
        <v>702</v>
      </c>
      <c r="M65" s="1"/>
      <c r="N65" s="1"/>
    </row>
    <row r="66" spans="1:14">
      <c r="A66" s="21">
        <v>64</v>
      </c>
      <c r="B66" s="19" t="s">
        <v>337</v>
      </c>
      <c r="C66" s="23" t="s">
        <v>252</v>
      </c>
      <c r="D66" s="2" t="s">
        <v>1630</v>
      </c>
      <c r="F66" s="21">
        <v>64</v>
      </c>
      <c r="G66" s="19" t="s">
        <v>376</v>
      </c>
      <c r="H66" s="1"/>
      <c r="I66" s="1"/>
      <c r="K66" s="21">
        <v>64</v>
      </c>
      <c r="L66" s="19" t="s">
        <v>703</v>
      </c>
      <c r="M66" s="1"/>
      <c r="N66" s="1"/>
    </row>
    <row r="67" spans="1:14">
      <c r="A67" s="21">
        <v>65</v>
      </c>
      <c r="B67" s="19" t="s">
        <v>338</v>
      </c>
      <c r="C67" s="23" t="s">
        <v>252</v>
      </c>
      <c r="D67" s="1" t="s">
        <v>316</v>
      </c>
      <c r="F67" s="21">
        <v>65</v>
      </c>
      <c r="G67" s="19" t="s">
        <v>377</v>
      </c>
      <c r="H67" s="1"/>
      <c r="I67" s="1"/>
      <c r="K67" s="21">
        <v>65</v>
      </c>
      <c r="L67" s="19" t="s">
        <v>704</v>
      </c>
      <c r="M67" s="1"/>
      <c r="N67" s="1"/>
    </row>
    <row r="68" spans="1:14">
      <c r="A68" s="21">
        <v>66</v>
      </c>
      <c r="B68" s="19" t="s">
        <v>339</v>
      </c>
      <c r="C68" s="23" t="s">
        <v>252</v>
      </c>
      <c r="D68" s="1" t="s">
        <v>1168</v>
      </c>
      <c r="F68" s="21">
        <v>66</v>
      </c>
      <c r="G68" s="19" t="s">
        <v>378</v>
      </c>
      <c r="H68" s="1"/>
      <c r="I68" s="1"/>
      <c r="K68" s="21">
        <v>66</v>
      </c>
      <c r="L68" s="19" t="s">
        <v>705</v>
      </c>
      <c r="M68" s="1"/>
      <c r="N68" s="1"/>
    </row>
    <row r="69" spans="1:14">
      <c r="A69" s="21">
        <v>67</v>
      </c>
      <c r="B69" s="19" t="s">
        <v>340</v>
      </c>
      <c r="C69" s="23" t="s">
        <v>252</v>
      </c>
      <c r="D69" s="1" t="s">
        <v>1178</v>
      </c>
      <c r="F69" s="21">
        <v>67</v>
      </c>
      <c r="G69" s="19" t="s">
        <v>379</v>
      </c>
      <c r="H69" s="1"/>
      <c r="I69" s="1"/>
      <c r="K69" s="21">
        <v>67</v>
      </c>
      <c r="L69" s="19" t="s">
        <v>706</v>
      </c>
      <c r="M69" s="1"/>
      <c r="N69" s="1"/>
    </row>
    <row r="70" spans="1:14">
      <c r="A70" s="21">
        <v>68</v>
      </c>
      <c r="B70" s="19" t="s">
        <v>341</v>
      </c>
      <c r="C70" s="23" t="s">
        <v>252</v>
      </c>
      <c r="D70" s="1" t="s">
        <v>1765</v>
      </c>
      <c r="F70" s="21">
        <v>68</v>
      </c>
      <c r="G70" s="19" t="s">
        <v>380</v>
      </c>
      <c r="H70" s="1"/>
      <c r="I70" s="1"/>
      <c r="K70" s="21">
        <v>68</v>
      </c>
      <c r="L70" s="19" t="s">
        <v>707</v>
      </c>
      <c r="M70" s="1"/>
      <c r="N70" s="1"/>
    </row>
    <row r="71" spans="1:14">
      <c r="A71" s="21">
        <v>69</v>
      </c>
      <c r="B71" s="19" t="s">
        <v>342</v>
      </c>
      <c r="C71" s="1"/>
      <c r="D71" s="1"/>
      <c r="F71" s="21">
        <v>69</v>
      </c>
      <c r="G71" s="19" t="s">
        <v>381</v>
      </c>
      <c r="H71" s="1"/>
      <c r="I71" s="1"/>
      <c r="K71" s="21">
        <v>69</v>
      </c>
      <c r="L71" s="19" t="s">
        <v>708</v>
      </c>
      <c r="M71" s="1"/>
      <c r="N71" s="1"/>
    </row>
    <row r="72" spans="1:14">
      <c r="A72" s="21">
        <v>70</v>
      </c>
      <c r="B72" s="19" t="s">
        <v>343</v>
      </c>
      <c r="C72" s="23" t="s">
        <v>252</v>
      </c>
      <c r="D72" s="1"/>
      <c r="F72" s="21">
        <v>70</v>
      </c>
      <c r="G72" s="19" t="s">
        <v>382</v>
      </c>
      <c r="H72" s="20" t="s">
        <v>227</v>
      </c>
      <c r="I72" s="1" t="s">
        <v>1264</v>
      </c>
      <c r="K72" s="21">
        <v>70</v>
      </c>
      <c r="L72" s="19" t="s">
        <v>709</v>
      </c>
      <c r="M72" s="1"/>
      <c r="N72" s="1"/>
    </row>
    <row r="73" spans="1:14">
      <c r="A73" s="21">
        <v>71</v>
      </c>
      <c r="B73" s="19" t="s">
        <v>344</v>
      </c>
      <c r="C73" s="23" t="s">
        <v>252</v>
      </c>
      <c r="D73" s="1" t="s">
        <v>1257</v>
      </c>
      <c r="F73" s="21">
        <v>71</v>
      </c>
      <c r="G73" s="19" t="s">
        <v>383</v>
      </c>
      <c r="H73" s="20" t="s">
        <v>227</v>
      </c>
      <c r="I73" s="1" t="s">
        <v>1263</v>
      </c>
      <c r="K73" s="21">
        <v>71</v>
      </c>
      <c r="L73" s="19" t="s">
        <v>710</v>
      </c>
      <c r="M73" s="1"/>
      <c r="N73" s="1"/>
    </row>
    <row r="74" spans="1:14">
      <c r="A74" s="21">
        <v>72</v>
      </c>
      <c r="B74" s="19" t="s">
        <v>345</v>
      </c>
      <c r="C74" s="23" t="s">
        <v>252</v>
      </c>
      <c r="D74" s="1" t="s">
        <v>1258</v>
      </c>
      <c r="F74" s="21">
        <v>72</v>
      </c>
      <c r="G74" s="19" t="s">
        <v>384</v>
      </c>
      <c r="H74" s="1"/>
      <c r="I74" s="1"/>
      <c r="K74" s="21">
        <v>72</v>
      </c>
      <c r="L74" s="19" t="s">
        <v>711</v>
      </c>
      <c r="M74" s="1"/>
      <c r="N74" s="1"/>
    </row>
    <row r="75" spans="1:14">
      <c r="A75" s="21">
        <v>73</v>
      </c>
      <c r="B75" s="19" t="s">
        <v>346</v>
      </c>
      <c r="C75" s="23" t="s">
        <v>252</v>
      </c>
      <c r="D75" s="1" t="s">
        <v>1262</v>
      </c>
      <c r="F75" s="21">
        <v>73</v>
      </c>
      <c r="G75" s="19" t="s">
        <v>385</v>
      </c>
      <c r="H75" s="1"/>
      <c r="I75" s="1"/>
      <c r="K75" s="21">
        <v>73</v>
      </c>
      <c r="L75" s="19" t="s">
        <v>712</v>
      </c>
      <c r="M75" s="1"/>
      <c r="N75" s="1"/>
    </row>
    <row r="76" spans="1:14">
      <c r="A76" s="21">
        <v>74</v>
      </c>
      <c r="B76" s="19" t="s">
        <v>347</v>
      </c>
      <c r="C76" s="23" t="s">
        <v>252</v>
      </c>
      <c r="D76" s="1" t="s">
        <v>1262</v>
      </c>
      <c r="F76" s="21">
        <v>74</v>
      </c>
      <c r="G76" s="19" t="s">
        <v>386</v>
      </c>
      <c r="H76" s="1"/>
      <c r="I76" s="1"/>
      <c r="K76" s="21">
        <v>74</v>
      </c>
      <c r="L76" s="19" t="s">
        <v>713</v>
      </c>
      <c r="M76" s="1"/>
      <c r="N76" s="1"/>
    </row>
    <row r="77" spans="1:14">
      <c r="A77" s="21">
        <v>75</v>
      </c>
      <c r="B77" s="19" t="s">
        <v>348</v>
      </c>
      <c r="C77" s="23" t="s">
        <v>252</v>
      </c>
      <c r="D77" s="1" t="s">
        <v>1259</v>
      </c>
      <c r="F77" s="21">
        <v>75</v>
      </c>
      <c r="G77" s="19" t="s">
        <v>387</v>
      </c>
      <c r="H77" s="1"/>
      <c r="I77" s="1"/>
      <c r="K77" s="21">
        <v>75</v>
      </c>
      <c r="L77" s="19" t="s">
        <v>714</v>
      </c>
      <c r="M77" s="1"/>
      <c r="N77" s="1"/>
    </row>
    <row r="78" spans="1:14">
      <c r="A78" s="21">
        <v>76</v>
      </c>
      <c r="B78" s="19" t="s">
        <v>349</v>
      </c>
      <c r="C78" s="23" t="s">
        <v>252</v>
      </c>
      <c r="D78" s="1" t="s">
        <v>1260</v>
      </c>
      <c r="F78" s="21">
        <v>76</v>
      </c>
      <c r="G78" s="19" t="s">
        <v>388</v>
      </c>
      <c r="H78" s="1"/>
      <c r="I78" s="1"/>
      <c r="K78" s="21">
        <v>76</v>
      </c>
      <c r="L78" s="19" t="s">
        <v>715</v>
      </c>
      <c r="M78" s="1"/>
      <c r="N78" s="1"/>
    </row>
    <row r="79" spans="1:14">
      <c r="A79" s="21">
        <v>77</v>
      </c>
      <c r="B79" s="19" t="s">
        <v>350</v>
      </c>
      <c r="C79" s="23" t="s">
        <v>252</v>
      </c>
      <c r="D79" s="1" t="s">
        <v>1261</v>
      </c>
      <c r="F79" s="21">
        <v>77</v>
      </c>
      <c r="G79" s="19" t="s">
        <v>389</v>
      </c>
      <c r="H79" s="1"/>
      <c r="I79" s="1"/>
      <c r="K79" s="21">
        <v>77</v>
      </c>
      <c r="L79" s="19" t="s">
        <v>716</v>
      </c>
      <c r="M79" s="1"/>
      <c r="N79" s="1"/>
    </row>
    <row r="80" spans="1:14">
      <c r="A80" s="21">
        <v>78</v>
      </c>
      <c r="B80" s="19" t="s">
        <v>351</v>
      </c>
      <c r="C80" s="1"/>
      <c r="D80" s="1"/>
      <c r="F80" s="21">
        <v>78</v>
      </c>
      <c r="G80" s="19" t="s">
        <v>390</v>
      </c>
      <c r="H80" s="1"/>
      <c r="I80" s="1"/>
      <c r="K80" s="21">
        <v>78</v>
      </c>
      <c r="L80" s="19" t="s">
        <v>717</v>
      </c>
      <c r="M80" s="1"/>
      <c r="N80" s="1"/>
    </row>
    <row r="81" spans="1:14">
      <c r="A81" s="21">
        <v>79</v>
      </c>
      <c r="B81" s="19" t="s">
        <v>352</v>
      </c>
      <c r="C81" s="1"/>
      <c r="D81" s="1"/>
      <c r="F81" s="21">
        <v>79</v>
      </c>
      <c r="G81" s="19" t="s">
        <v>391</v>
      </c>
      <c r="H81" s="1"/>
      <c r="I81" s="1"/>
      <c r="K81" s="21">
        <v>79</v>
      </c>
      <c r="L81" s="19" t="s">
        <v>718</v>
      </c>
      <c r="M81" s="1"/>
      <c r="N81" s="1"/>
    </row>
    <row r="82" spans="1:14">
      <c r="A82" s="21">
        <v>80</v>
      </c>
      <c r="B82" s="19" t="s">
        <v>593</v>
      </c>
      <c r="C82" s="23" t="s">
        <v>252</v>
      </c>
      <c r="D82" s="1" t="s">
        <v>1037</v>
      </c>
      <c r="F82" s="21">
        <v>80</v>
      </c>
      <c r="G82" s="19" t="s">
        <v>610</v>
      </c>
      <c r="H82" s="20" t="s">
        <v>227</v>
      </c>
      <c r="I82" s="1" t="s">
        <v>627</v>
      </c>
      <c r="K82" s="21">
        <v>80</v>
      </c>
      <c r="L82" s="19" t="s">
        <v>719</v>
      </c>
      <c r="M82" s="1"/>
      <c r="N82" s="1"/>
    </row>
    <row r="83" spans="1:14">
      <c r="A83" s="21">
        <v>81</v>
      </c>
      <c r="B83" s="19" t="s">
        <v>594</v>
      </c>
      <c r="C83" s="23" t="s">
        <v>252</v>
      </c>
      <c r="D83" s="1" t="s">
        <v>1140</v>
      </c>
      <c r="F83" s="21">
        <v>81</v>
      </c>
      <c r="G83" s="19" t="s">
        <v>611</v>
      </c>
      <c r="H83" s="20" t="s">
        <v>227</v>
      </c>
      <c r="I83" s="1" t="s">
        <v>625</v>
      </c>
      <c r="K83" s="21">
        <v>81</v>
      </c>
      <c r="L83" s="19" t="s">
        <v>720</v>
      </c>
      <c r="M83" s="1"/>
      <c r="N83" s="1"/>
    </row>
    <row r="84" spans="1:14">
      <c r="A84" s="21">
        <v>82</v>
      </c>
      <c r="B84" s="19" t="s">
        <v>595</v>
      </c>
      <c r="C84" s="23" t="s">
        <v>252</v>
      </c>
      <c r="D84" s="1" t="s">
        <v>1180</v>
      </c>
      <c r="F84" s="21">
        <v>82</v>
      </c>
      <c r="G84" s="19" t="s">
        <v>612</v>
      </c>
      <c r="H84" s="20" t="s">
        <v>227</v>
      </c>
      <c r="I84" s="1" t="s">
        <v>626</v>
      </c>
      <c r="K84" s="21">
        <v>82</v>
      </c>
      <c r="L84" s="19" t="s">
        <v>721</v>
      </c>
      <c r="M84" s="1"/>
      <c r="N84" s="1"/>
    </row>
    <row r="85" spans="1:14">
      <c r="A85" s="21">
        <v>83</v>
      </c>
      <c r="B85" s="19" t="s">
        <v>596</v>
      </c>
      <c r="C85" s="23" t="s">
        <v>252</v>
      </c>
      <c r="D85" s="1" t="s">
        <v>1181</v>
      </c>
      <c r="F85" s="21">
        <v>83</v>
      </c>
      <c r="G85" s="19" t="s">
        <v>613</v>
      </c>
      <c r="H85" s="1"/>
      <c r="I85" s="1"/>
      <c r="K85" s="21">
        <v>83</v>
      </c>
      <c r="L85" s="19" t="s">
        <v>722</v>
      </c>
      <c r="M85" s="1"/>
      <c r="N85" s="1"/>
    </row>
    <row r="86" spans="1:14">
      <c r="A86" s="21">
        <v>84</v>
      </c>
      <c r="B86" s="19" t="s">
        <v>597</v>
      </c>
      <c r="C86" s="23"/>
      <c r="D86" s="1"/>
      <c r="F86" s="21">
        <v>84</v>
      </c>
      <c r="G86" s="19" t="s">
        <v>614</v>
      </c>
      <c r="H86" s="1"/>
      <c r="I86" s="1"/>
      <c r="K86" s="21">
        <v>84</v>
      </c>
      <c r="L86" s="19" t="s">
        <v>723</v>
      </c>
      <c r="M86" s="1"/>
      <c r="N86" s="1"/>
    </row>
    <row r="87" spans="1:14">
      <c r="A87" s="21">
        <v>85</v>
      </c>
      <c r="B87" s="19" t="s">
        <v>598</v>
      </c>
      <c r="C87" s="23"/>
      <c r="D87" s="1"/>
      <c r="F87" s="21">
        <v>85</v>
      </c>
      <c r="G87" s="19" t="s">
        <v>615</v>
      </c>
      <c r="H87" s="1"/>
      <c r="I87" s="1"/>
      <c r="K87" s="21">
        <v>85</v>
      </c>
      <c r="L87" s="19" t="s">
        <v>724</v>
      </c>
      <c r="M87" s="1"/>
      <c r="N87" s="1"/>
    </row>
    <row r="88" spans="1:14">
      <c r="A88" s="21">
        <v>86</v>
      </c>
      <c r="B88" s="19" t="s">
        <v>599</v>
      </c>
      <c r="C88" s="1"/>
      <c r="D88" s="1"/>
      <c r="F88" s="21">
        <v>86</v>
      </c>
      <c r="G88" s="19" t="s">
        <v>616</v>
      </c>
      <c r="H88" s="1"/>
      <c r="I88" s="1"/>
      <c r="K88" s="21">
        <v>86</v>
      </c>
      <c r="L88" s="19" t="s">
        <v>725</v>
      </c>
      <c r="M88" s="1"/>
      <c r="N88" s="1"/>
    </row>
    <row r="89" spans="1:14">
      <c r="A89" s="21">
        <v>87</v>
      </c>
      <c r="B89" s="19" t="s">
        <v>600</v>
      </c>
      <c r="C89" s="1"/>
      <c r="D89" s="1" t="s">
        <v>1762</v>
      </c>
      <c r="F89" s="21">
        <v>87</v>
      </c>
      <c r="G89" s="19" t="s">
        <v>617</v>
      </c>
      <c r="H89" s="1"/>
      <c r="I89" s="1"/>
      <c r="K89" s="21">
        <v>87</v>
      </c>
      <c r="L89" s="19" t="s">
        <v>726</v>
      </c>
      <c r="M89" s="1"/>
      <c r="N89" s="1"/>
    </row>
    <row r="90" spans="1:14">
      <c r="A90" s="21">
        <v>88</v>
      </c>
      <c r="B90" s="19" t="s">
        <v>601</v>
      </c>
      <c r="C90" s="125" t="s">
        <v>252</v>
      </c>
      <c r="D90" s="106" t="s">
        <v>1672</v>
      </c>
      <c r="F90" s="21">
        <v>88</v>
      </c>
      <c r="G90" s="19" t="s">
        <v>618</v>
      </c>
      <c r="H90" s="1"/>
      <c r="I90" s="107"/>
      <c r="K90" s="21">
        <v>88</v>
      </c>
      <c r="L90" s="19" t="s">
        <v>727</v>
      </c>
      <c r="M90" s="1"/>
      <c r="N90" s="1"/>
    </row>
    <row r="91" spans="1:14">
      <c r="A91" s="21">
        <v>89</v>
      </c>
      <c r="B91" s="19" t="s">
        <v>602</v>
      </c>
      <c r="C91" s="125" t="s">
        <v>252</v>
      </c>
      <c r="D91" s="106" t="s">
        <v>1673</v>
      </c>
      <c r="F91" s="21">
        <v>89</v>
      </c>
      <c r="G91" s="24" t="s">
        <v>619</v>
      </c>
      <c r="H91" s="83"/>
      <c r="I91" s="109"/>
      <c r="K91" s="21">
        <v>89</v>
      </c>
      <c r="L91" s="19" t="s">
        <v>728</v>
      </c>
      <c r="M91" s="1"/>
      <c r="N91" s="1"/>
    </row>
    <row r="92" spans="1:14">
      <c r="A92" s="21">
        <v>90</v>
      </c>
      <c r="B92" s="19" t="s">
        <v>603</v>
      </c>
      <c r="C92" s="23" t="s">
        <v>252</v>
      </c>
      <c r="D92" s="1" t="s">
        <v>1220</v>
      </c>
      <c r="F92" s="90">
        <v>90</v>
      </c>
      <c r="G92" s="91" t="s">
        <v>1759</v>
      </c>
      <c r="H92" s="23" t="s">
        <v>252</v>
      </c>
      <c r="I92" s="106" t="s">
        <v>1749</v>
      </c>
      <c r="K92" s="21">
        <v>90</v>
      </c>
      <c r="L92" s="19" t="s">
        <v>729</v>
      </c>
      <c r="M92" s="23" t="s">
        <v>252</v>
      </c>
      <c r="N92" s="112" t="s">
        <v>1755</v>
      </c>
    </row>
    <row r="93" spans="1:14">
      <c r="A93" s="21">
        <v>91</v>
      </c>
      <c r="B93" s="19" t="s">
        <v>604</v>
      </c>
      <c r="C93" s="23" t="s">
        <v>252</v>
      </c>
      <c r="D93" s="1" t="s">
        <v>1221</v>
      </c>
      <c r="F93" s="90">
        <v>91</v>
      </c>
      <c r="G93" s="93" t="s">
        <v>620</v>
      </c>
      <c r="H93" s="23" t="s">
        <v>252</v>
      </c>
      <c r="I93" s="106" t="s">
        <v>1750</v>
      </c>
      <c r="K93" s="21">
        <v>91</v>
      </c>
      <c r="L93" s="19" t="s">
        <v>730</v>
      </c>
      <c r="M93" s="23" t="s">
        <v>252</v>
      </c>
      <c r="N93" s="112" t="s">
        <v>1756</v>
      </c>
    </row>
    <row r="94" spans="1:14">
      <c r="A94" s="21">
        <v>92</v>
      </c>
      <c r="B94" s="19" t="s">
        <v>605</v>
      </c>
      <c r="C94" s="23" t="s">
        <v>252</v>
      </c>
      <c r="D94" s="1" t="s">
        <v>1222</v>
      </c>
      <c r="F94" s="21">
        <v>92</v>
      </c>
      <c r="G94" s="95" t="s">
        <v>621</v>
      </c>
      <c r="H94" s="23" t="s">
        <v>252</v>
      </c>
      <c r="I94" s="106" t="s">
        <v>1751</v>
      </c>
      <c r="K94" s="21">
        <v>92</v>
      </c>
      <c r="L94" s="19" t="s">
        <v>731</v>
      </c>
      <c r="M94" s="23" t="s">
        <v>252</v>
      </c>
      <c r="N94" s="112" t="s">
        <v>1757</v>
      </c>
    </row>
    <row r="95" spans="1:14">
      <c r="A95" s="21">
        <v>93</v>
      </c>
      <c r="B95" s="19" t="s">
        <v>606</v>
      </c>
      <c r="C95" s="23" t="s">
        <v>252</v>
      </c>
      <c r="D95" s="1" t="s">
        <v>1223</v>
      </c>
      <c r="F95" s="21">
        <v>93</v>
      </c>
      <c r="G95" s="19" t="s">
        <v>622</v>
      </c>
      <c r="H95" s="23" t="s">
        <v>252</v>
      </c>
      <c r="I95" s="106" t="s">
        <v>1752</v>
      </c>
      <c r="K95" s="21">
        <v>93</v>
      </c>
      <c r="L95" s="19" t="s">
        <v>732</v>
      </c>
      <c r="M95" s="23" t="s">
        <v>252</v>
      </c>
      <c r="N95" s="112" t="s">
        <v>1758</v>
      </c>
    </row>
    <row r="96" spans="1:14">
      <c r="A96" s="21">
        <v>94</v>
      </c>
      <c r="B96" s="19" t="s">
        <v>607</v>
      </c>
      <c r="C96" s="23" t="s">
        <v>252</v>
      </c>
      <c r="D96" s="1" t="s">
        <v>1225</v>
      </c>
      <c r="F96" s="21">
        <v>94</v>
      </c>
      <c r="G96" s="19" t="s">
        <v>623</v>
      </c>
      <c r="H96" s="23" t="s">
        <v>252</v>
      </c>
      <c r="I96" s="112" t="s">
        <v>1753</v>
      </c>
      <c r="K96" s="21">
        <v>94</v>
      </c>
      <c r="L96" s="19" t="s">
        <v>733</v>
      </c>
      <c r="M96" s="23" t="s">
        <v>252</v>
      </c>
      <c r="N96" s="112" t="s">
        <v>1761</v>
      </c>
    </row>
    <row r="97" spans="1:14">
      <c r="A97" s="21">
        <v>95</v>
      </c>
      <c r="B97" s="19" t="s">
        <v>608</v>
      </c>
      <c r="C97" s="23" t="s">
        <v>252</v>
      </c>
      <c r="D97" s="1" t="s">
        <v>1224</v>
      </c>
      <c r="F97" s="21">
        <v>95</v>
      </c>
      <c r="G97" s="19" t="s">
        <v>624</v>
      </c>
      <c r="H97" s="23" t="s">
        <v>252</v>
      </c>
      <c r="I97" s="124" t="s">
        <v>1754</v>
      </c>
      <c r="K97" s="21">
        <v>95</v>
      </c>
      <c r="L97" s="19" t="s">
        <v>734</v>
      </c>
      <c r="M97" s="1"/>
      <c r="N97" s="1"/>
    </row>
    <row r="98" spans="1:14">
      <c r="A98" s="21">
        <v>96</v>
      </c>
      <c r="B98" s="19" t="s">
        <v>609</v>
      </c>
      <c r="C98" s="23" t="s">
        <v>252</v>
      </c>
      <c r="D98" s="1" t="s">
        <v>1226</v>
      </c>
      <c r="F98" s="21">
        <v>96</v>
      </c>
      <c r="G98" s="19" t="s">
        <v>628</v>
      </c>
      <c r="H98" s="1"/>
      <c r="K98" s="21">
        <v>96</v>
      </c>
      <c r="L98" s="19" t="s">
        <v>735</v>
      </c>
      <c r="M98" s="1"/>
      <c r="N98" s="1"/>
    </row>
    <row r="99" spans="1:14">
      <c r="A99" s="21">
        <v>97</v>
      </c>
      <c r="B99" s="19" t="s">
        <v>632</v>
      </c>
      <c r="C99" s="23" t="s">
        <v>252</v>
      </c>
      <c r="D99" s="1" t="s">
        <v>1227</v>
      </c>
      <c r="F99" s="21">
        <v>97</v>
      </c>
      <c r="G99" s="19" t="s">
        <v>629</v>
      </c>
      <c r="H99" s="1"/>
      <c r="K99" s="21">
        <v>97</v>
      </c>
      <c r="L99" s="19" t="s">
        <v>736</v>
      </c>
      <c r="M99" s="1"/>
      <c r="N99" s="1"/>
    </row>
    <row r="100" spans="1:14">
      <c r="A100" s="21">
        <v>98</v>
      </c>
      <c r="B100" s="19" t="s">
        <v>633</v>
      </c>
      <c r="C100" s="23" t="s">
        <v>252</v>
      </c>
      <c r="D100" s="1" t="s">
        <v>1265</v>
      </c>
      <c r="F100" s="21">
        <v>98</v>
      </c>
      <c r="G100" s="19" t="s">
        <v>630</v>
      </c>
      <c r="H100" s="1"/>
      <c r="K100" s="21">
        <v>98</v>
      </c>
      <c r="L100" s="19" t="s">
        <v>737</v>
      </c>
      <c r="M100" s="1"/>
      <c r="N100" s="1"/>
    </row>
    <row r="101" spans="1:14">
      <c r="A101" s="21">
        <v>99</v>
      </c>
      <c r="B101" s="19" t="s">
        <v>634</v>
      </c>
      <c r="C101" s="1"/>
      <c r="D101" s="1"/>
      <c r="F101" s="21">
        <v>99</v>
      </c>
      <c r="G101" s="19" t="s">
        <v>1760</v>
      </c>
      <c r="H101" s="1"/>
      <c r="K101" s="21">
        <v>99</v>
      </c>
      <c r="L101" s="19" t="s">
        <v>738</v>
      </c>
      <c r="M101" s="1"/>
      <c r="N101" s="1"/>
    </row>
    <row r="102" spans="1:14">
      <c r="A102" s="21">
        <v>100</v>
      </c>
      <c r="B102" s="19" t="s">
        <v>635</v>
      </c>
      <c r="C102" s="20" t="s">
        <v>227</v>
      </c>
      <c r="D102" s="1" t="s">
        <v>1185</v>
      </c>
      <c r="F102" s="21">
        <v>100</v>
      </c>
      <c r="G102" s="19" t="s">
        <v>631</v>
      </c>
      <c r="H102" s="1"/>
      <c r="I102" s="1"/>
      <c r="K102" s="21">
        <v>100</v>
      </c>
      <c r="L102" s="19" t="s">
        <v>963</v>
      </c>
      <c r="M102" s="23" t="s">
        <v>252</v>
      </c>
      <c r="N102" s="1" t="s">
        <v>457</v>
      </c>
    </row>
    <row r="103" spans="1:14">
      <c r="A103" s="21">
        <v>101</v>
      </c>
      <c r="B103" s="19" t="s">
        <v>1188</v>
      </c>
      <c r="C103" s="20" t="s">
        <v>227</v>
      </c>
      <c r="D103" s="1" t="s">
        <v>1186</v>
      </c>
      <c r="K103" s="21">
        <v>101</v>
      </c>
      <c r="L103" s="19" t="s">
        <v>819</v>
      </c>
      <c r="M103" s="23" t="s">
        <v>252</v>
      </c>
      <c r="N103" s="1" t="s">
        <v>458</v>
      </c>
    </row>
    <row r="104" spans="1:14">
      <c r="A104" s="21">
        <v>102</v>
      </c>
      <c r="B104" s="19" t="s">
        <v>1189</v>
      </c>
      <c r="C104" s="20" t="s">
        <v>227</v>
      </c>
      <c r="D104" s="1" t="s">
        <v>1187</v>
      </c>
      <c r="K104" s="21">
        <v>102</v>
      </c>
      <c r="L104" s="19" t="s">
        <v>820</v>
      </c>
      <c r="M104" s="23" t="s">
        <v>252</v>
      </c>
      <c r="N104" s="1" t="s">
        <v>459</v>
      </c>
    </row>
    <row r="105" spans="1:14">
      <c r="A105" s="21">
        <v>103</v>
      </c>
      <c r="B105" s="19" t="s">
        <v>1194</v>
      </c>
      <c r="C105" s="20" t="s">
        <v>227</v>
      </c>
      <c r="D105" s="1" t="s">
        <v>1193</v>
      </c>
      <c r="K105" s="21">
        <v>103</v>
      </c>
      <c r="L105" s="19" t="s">
        <v>821</v>
      </c>
      <c r="M105" s="23" t="s">
        <v>252</v>
      </c>
      <c r="N105" s="1" t="s">
        <v>460</v>
      </c>
    </row>
    <row r="106" spans="1:14">
      <c r="A106" s="21">
        <v>104</v>
      </c>
      <c r="B106" s="19" t="s">
        <v>1195</v>
      </c>
      <c r="C106" s="20" t="s">
        <v>227</v>
      </c>
      <c r="K106" s="21">
        <v>104</v>
      </c>
      <c r="L106" s="19" t="s">
        <v>822</v>
      </c>
      <c r="M106" s="23" t="s">
        <v>252</v>
      </c>
      <c r="N106" s="1" t="s">
        <v>770</v>
      </c>
    </row>
    <row r="107" spans="1:14">
      <c r="A107" s="21">
        <v>105</v>
      </c>
      <c r="B107" s="19" t="s">
        <v>1196</v>
      </c>
      <c r="C107" s="20" t="s">
        <v>227</v>
      </c>
      <c r="K107" s="21">
        <v>105</v>
      </c>
      <c r="L107" s="19" t="s">
        <v>823</v>
      </c>
      <c r="M107" s="23" t="s">
        <v>252</v>
      </c>
      <c r="N107" s="1" t="s">
        <v>461</v>
      </c>
    </row>
    <row r="108" spans="1:14">
      <c r="A108" s="21">
        <v>106</v>
      </c>
      <c r="B108" s="19" t="s">
        <v>1197</v>
      </c>
      <c r="C108" s="20" t="s">
        <v>227</v>
      </c>
      <c r="K108" s="21">
        <v>106</v>
      </c>
      <c r="L108" s="19" t="s">
        <v>824</v>
      </c>
      <c r="M108" s="23" t="s">
        <v>252</v>
      </c>
      <c r="N108" s="1" t="s">
        <v>462</v>
      </c>
    </row>
    <row r="109" spans="1:14">
      <c r="A109" s="21">
        <v>107</v>
      </c>
      <c r="B109" s="19" t="s">
        <v>1198</v>
      </c>
      <c r="C109" s="20" t="s">
        <v>227</v>
      </c>
      <c r="K109" s="21">
        <v>107</v>
      </c>
      <c r="L109" s="19" t="s">
        <v>1610</v>
      </c>
      <c r="M109" s="23" t="s">
        <v>252</v>
      </c>
      <c r="N109" s="106" t="s">
        <v>1564</v>
      </c>
    </row>
    <row r="110" spans="1:14">
      <c r="A110" s="21">
        <v>108</v>
      </c>
      <c r="B110" s="19" t="s">
        <v>1199</v>
      </c>
      <c r="C110" s="20" t="s">
        <v>227</v>
      </c>
      <c r="K110" s="21">
        <v>108</v>
      </c>
      <c r="L110" s="19" t="s">
        <v>825</v>
      </c>
      <c r="M110" s="23" t="s">
        <v>252</v>
      </c>
      <c r="N110" s="106" t="s">
        <v>1555</v>
      </c>
    </row>
    <row r="111" spans="1:14">
      <c r="A111" s="21">
        <v>109</v>
      </c>
      <c r="B111" s="19" t="s">
        <v>1200</v>
      </c>
      <c r="C111" s="20" t="s">
        <v>227</v>
      </c>
      <c r="K111" s="21">
        <v>109</v>
      </c>
      <c r="L111" s="19" t="s">
        <v>826</v>
      </c>
      <c r="M111" s="23" t="s">
        <v>252</v>
      </c>
      <c r="N111" s="106" t="s">
        <v>1563</v>
      </c>
    </row>
    <row r="112" spans="1:14">
      <c r="A112" s="21">
        <v>110</v>
      </c>
      <c r="B112" s="19" t="s">
        <v>1272</v>
      </c>
      <c r="C112" s="23" t="s">
        <v>252</v>
      </c>
      <c r="D112" t="s">
        <v>1282</v>
      </c>
      <c r="K112" s="21">
        <v>110</v>
      </c>
      <c r="L112" s="19" t="s">
        <v>827</v>
      </c>
      <c r="M112" s="23" t="s">
        <v>252</v>
      </c>
      <c r="N112" s="1" t="s">
        <v>739</v>
      </c>
    </row>
    <row r="113" spans="1:14">
      <c r="A113" s="21">
        <v>111</v>
      </c>
      <c r="B113" s="19" t="s">
        <v>1273</v>
      </c>
      <c r="C113" s="23" t="s">
        <v>252</v>
      </c>
      <c r="D113" t="s">
        <v>1285</v>
      </c>
      <c r="K113" s="21">
        <v>111</v>
      </c>
      <c r="L113" s="19" t="s">
        <v>828</v>
      </c>
      <c r="M113" s="23" t="s">
        <v>252</v>
      </c>
      <c r="N113" s="1" t="s">
        <v>672</v>
      </c>
    </row>
    <row r="114" spans="1:14">
      <c r="A114" s="21">
        <v>112</v>
      </c>
      <c r="B114" s="19" t="s">
        <v>1274</v>
      </c>
      <c r="C114" s="23" t="s">
        <v>252</v>
      </c>
      <c r="D114" t="s">
        <v>1283</v>
      </c>
      <c r="K114" s="21">
        <v>112</v>
      </c>
      <c r="L114" s="19" t="s">
        <v>829</v>
      </c>
      <c r="M114" s="23" t="s">
        <v>252</v>
      </c>
      <c r="N114" s="1" t="s">
        <v>673</v>
      </c>
    </row>
    <row r="115" spans="1:14">
      <c r="A115" s="21">
        <v>113</v>
      </c>
      <c r="B115" s="19" t="s">
        <v>1275</v>
      </c>
      <c r="C115" s="23" t="s">
        <v>252</v>
      </c>
      <c r="D115" t="s">
        <v>1286</v>
      </c>
      <c r="K115" s="21">
        <v>113</v>
      </c>
      <c r="L115" s="19" t="s">
        <v>830</v>
      </c>
      <c r="M115" s="23" t="s">
        <v>252</v>
      </c>
      <c r="N115" s="1" t="s">
        <v>740</v>
      </c>
    </row>
    <row r="116" spans="1:14">
      <c r="A116" s="21">
        <v>114</v>
      </c>
      <c r="B116" s="19" t="s">
        <v>1276</v>
      </c>
      <c r="C116" s="23" t="s">
        <v>252</v>
      </c>
      <c r="D116" t="s">
        <v>1284</v>
      </c>
      <c r="K116" s="21">
        <v>114</v>
      </c>
      <c r="L116" s="19" t="s">
        <v>831</v>
      </c>
      <c r="M116" s="23" t="s">
        <v>252</v>
      </c>
      <c r="N116" s="1" t="s">
        <v>741</v>
      </c>
    </row>
    <row r="117" spans="1:14">
      <c r="A117" s="21">
        <v>115</v>
      </c>
      <c r="B117" s="19" t="s">
        <v>1277</v>
      </c>
      <c r="C117" s="23" t="s">
        <v>252</v>
      </c>
      <c r="D117" t="s">
        <v>1287</v>
      </c>
      <c r="K117" s="21">
        <v>115</v>
      </c>
      <c r="L117" s="19" t="s">
        <v>832</v>
      </c>
      <c r="M117" s="23" t="s">
        <v>252</v>
      </c>
      <c r="N117" s="33" t="s">
        <v>742</v>
      </c>
    </row>
    <row r="118" spans="1:14">
      <c r="A118" s="21">
        <v>116</v>
      </c>
      <c r="B118" s="19" t="s">
        <v>1278</v>
      </c>
      <c r="C118" s="23" t="s">
        <v>252</v>
      </c>
      <c r="D118" t="s">
        <v>1631</v>
      </c>
      <c r="K118" s="21">
        <v>116</v>
      </c>
      <c r="L118" s="19" t="s">
        <v>833</v>
      </c>
      <c r="M118" s="23" t="s">
        <v>252</v>
      </c>
      <c r="N118" s="1" t="s">
        <v>743</v>
      </c>
    </row>
    <row r="119" spans="1:14">
      <c r="A119" s="21">
        <v>117</v>
      </c>
      <c r="B119" s="19" t="s">
        <v>1279</v>
      </c>
      <c r="C119" s="23" t="s">
        <v>252</v>
      </c>
      <c r="D119" t="s">
        <v>1632</v>
      </c>
      <c r="K119" s="21">
        <v>117</v>
      </c>
      <c r="L119" s="19" t="s">
        <v>834</v>
      </c>
      <c r="M119" s="23" t="s">
        <v>252</v>
      </c>
      <c r="N119" s="1" t="s">
        <v>744</v>
      </c>
    </row>
    <row r="120" spans="1:14">
      <c r="A120" s="21">
        <v>118</v>
      </c>
      <c r="B120" s="19" t="s">
        <v>1280</v>
      </c>
      <c r="C120" s="23" t="s">
        <v>252</v>
      </c>
      <c r="D120" t="s">
        <v>1633</v>
      </c>
      <c r="K120" s="21">
        <v>118</v>
      </c>
      <c r="L120" s="19" t="s">
        <v>835</v>
      </c>
      <c r="M120" s="23" t="s">
        <v>252</v>
      </c>
      <c r="N120" s="1" t="s">
        <v>745</v>
      </c>
    </row>
    <row r="121" spans="1:14">
      <c r="A121" s="21">
        <v>119</v>
      </c>
      <c r="B121" s="19" t="s">
        <v>1281</v>
      </c>
      <c r="C121" s="23" t="s">
        <v>252</v>
      </c>
      <c r="D121" t="s">
        <v>1634</v>
      </c>
      <c r="K121" s="21">
        <v>119</v>
      </c>
      <c r="L121" s="19" t="s">
        <v>836</v>
      </c>
      <c r="M121" s="23" t="s">
        <v>252</v>
      </c>
      <c r="N121" s="1" t="s">
        <v>746</v>
      </c>
    </row>
    <row r="122" spans="1:14">
      <c r="A122" s="21">
        <v>120</v>
      </c>
      <c r="B122" s="19" t="s">
        <v>1288</v>
      </c>
      <c r="C122" s="23" t="s">
        <v>252</v>
      </c>
      <c r="D122" t="s">
        <v>1635</v>
      </c>
      <c r="K122" s="21">
        <v>120</v>
      </c>
      <c r="L122" s="19" t="s">
        <v>837</v>
      </c>
      <c r="M122" s="23" t="s">
        <v>252</v>
      </c>
      <c r="N122" s="106" t="s">
        <v>678</v>
      </c>
    </row>
    <row r="123" spans="1:14">
      <c r="A123" s="21">
        <v>121</v>
      </c>
      <c r="B123" s="19" t="s">
        <v>1289</v>
      </c>
      <c r="C123" s="82" t="s">
        <v>252</v>
      </c>
      <c r="D123" t="s">
        <v>1636</v>
      </c>
      <c r="K123" s="21">
        <v>121</v>
      </c>
      <c r="L123" s="19" t="s">
        <v>838</v>
      </c>
      <c r="M123" s="23" t="s">
        <v>252</v>
      </c>
      <c r="N123" s="106" t="s">
        <v>1660</v>
      </c>
    </row>
    <row r="124" spans="1:14">
      <c r="A124" s="21">
        <v>122</v>
      </c>
      <c r="B124" s="19" t="s">
        <v>1355</v>
      </c>
      <c r="C124" s="92" t="s">
        <v>252</v>
      </c>
      <c r="D124" t="s">
        <v>1637</v>
      </c>
      <c r="K124" s="21">
        <v>122</v>
      </c>
      <c r="L124" s="19" t="s">
        <v>839</v>
      </c>
      <c r="M124" s="23" t="s">
        <v>252</v>
      </c>
      <c r="N124" s="106" t="s">
        <v>1661</v>
      </c>
    </row>
    <row r="125" spans="1:14">
      <c r="A125" s="21">
        <v>123</v>
      </c>
      <c r="B125" s="19" t="s">
        <v>1356</v>
      </c>
      <c r="C125" s="94" t="s">
        <v>252</v>
      </c>
      <c r="D125" t="s">
        <v>1638</v>
      </c>
      <c r="K125" s="21">
        <v>123</v>
      </c>
      <c r="L125" s="19" t="s">
        <v>840</v>
      </c>
      <c r="M125" s="23" t="s">
        <v>252</v>
      </c>
      <c r="N125" s="106" t="s">
        <v>1662</v>
      </c>
    </row>
    <row r="126" spans="1:14">
      <c r="A126" s="21">
        <v>124</v>
      </c>
      <c r="B126" s="19" t="s">
        <v>1643</v>
      </c>
      <c r="C126" s="92" t="s">
        <v>252</v>
      </c>
      <c r="D126" t="s">
        <v>1639</v>
      </c>
      <c r="K126" s="21">
        <v>124</v>
      </c>
      <c r="L126" s="19" t="s">
        <v>841</v>
      </c>
      <c r="M126" s="23" t="s">
        <v>252</v>
      </c>
      <c r="N126" s="106" t="s">
        <v>1663</v>
      </c>
    </row>
    <row r="127" spans="1:14">
      <c r="A127" s="21">
        <v>125</v>
      </c>
      <c r="B127" s="19" t="s">
        <v>1644</v>
      </c>
      <c r="C127" s="94" t="s">
        <v>252</v>
      </c>
      <c r="D127" t="s">
        <v>1640</v>
      </c>
      <c r="K127" s="21">
        <v>125</v>
      </c>
      <c r="L127" s="19" t="s">
        <v>842</v>
      </c>
      <c r="M127" s="23" t="s">
        <v>252</v>
      </c>
      <c r="N127" s="106" t="s">
        <v>1664</v>
      </c>
    </row>
    <row r="128" spans="1:14">
      <c r="A128" s="21">
        <v>126</v>
      </c>
      <c r="B128" s="19" t="s">
        <v>1645</v>
      </c>
      <c r="C128" s="92" t="s">
        <v>252</v>
      </c>
      <c r="D128" t="s">
        <v>1641</v>
      </c>
      <c r="K128" s="21">
        <v>126</v>
      </c>
      <c r="L128" s="19" t="s">
        <v>843</v>
      </c>
      <c r="M128" s="23" t="s">
        <v>252</v>
      </c>
      <c r="N128" s="106" t="s">
        <v>1665</v>
      </c>
    </row>
    <row r="129" spans="1:18">
      <c r="A129" s="21">
        <v>127</v>
      </c>
      <c r="B129" s="19" t="s">
        <v>1646</v>
      </c>
      <c r="C129" s="94" t="s">
        <v>252</v>
      </c>
      <c r="D129" t="s">
        <v>1642</v>
      </c>
      <c r="K129" s="21">
        <v>127</v>
      </c>
      <c r="L129" s="19" t="s">
        <v>844</v>
      </c>
      <c r="M129" s="23" t="s">
        <v>252</v>
      </c>
      <c r="N129" s="106" t="s">
        <v>1666</v>
      </c>
    </row>
    <row r="130" spans="1:18">
      <c r="A130" s="21">
        <v>128</v>
      </c>
      <c r="B130" s="19" t="s">
        <v>1647</v>
      </c>
      <c r="C130" s="92" t="s">
        <v>252</v>
      </c>
      <c r="D130" t="s">
        <v>1290</v>
      </c>
      <c r="K130" s="21">
        <v>128</v>
      </c>
      <c r="L130" s="19" t="s">
        <v>845</v>
      </c>
      <c r="M130" s="23" t="s">
        <v>252</v>
      </c>
      <c r="N130" s="106" t="s">
        <v>1667</v>
      </c>
    </row>
    <row r="131" spans="1:18">
      <c r="A131" s="21">
        <v>129</v>
      </c>
      <c r="B131" s="19" t="s">
        <v>1648</v>
      </c>
      <c r="C131" s="94" t="s">
        <v>252</v>
      </c>
      <c r="D131" t="s">
        <v>1291</v>
      </c>
      <c r="K131" s="21">
        <v>129</v>
      </c>
      <c r="L131" s="19" t="s">
        <v>846</v>
      </c>
      <c r="M131" s="23" t="s">
        <v>252</v>
      </c>
      <c r="N131" s="1"/>
    </row>
    <row r="132" spans="1:18">
      <c r="A132" s="21">
        <v>130</v>
      </c>
      <c r="B132" s="19" t="s">
        <v>1649</v>
      </c>
      <c r="C132" s="92" t="s">
        <v>252</v>
      </c>
      <c r="D132" s="110" t="s">
        <v>1358</v>
      </c>
      <c r="K132" s="21">
        <v>130</v>
      </c>
      <c r="L132" s="19" t="s">
        <v>847</v>
      </c>
      <c r="M132" s="23" t="s">
        <v>252</v>
      </c>
      <c r="N132" s="1"/>
    </row>
    <row r="133" spans="1:18">
      <c r="A133" s="21">
        <v>131</v>
      </c>
      <c r="B133" s="19" t="s">
        <v>1650</v>
      </c>
      <c r="C133" s="94" t="s">
        <v>252</v>
      </c>
      <c r="D133" s="111" t="s">
        <v>1357</v>
      </c>
      <c r="K133" s="21">
        <v>222</v>
      </c>
      <c r="L133" s="19" t="s">
        <v>848</v>
      </c>
      <c r="M133" s="23" t="s">
        <v>252</v>
      </c>
      <c r="N133" s="1"/>
    </row>
    <row r="134" spans="1:18">
      <c r="K134" s="21">
        <v>223</v>
      </c>
      <c r="L134" s="19" t="s">
        <v>849</v>
      </c>
      <c r="M134" s="23" t="s">
        <v>252</v>
      </c>
      <c r="N134" s="1"/>
    </row>
    <row r="135" spans="1:18">
      <c r="K135" s="21">
        <v>224</v>
      </c>
      <c r="L135" s="19" t="s">
        <v>850</v>
      </c>
      <c r="M135" s="23" t="s">
        <v>252</v>
      </c>
      <c r="N135" s="1"/>
    </row>
    <row r="136" spans="1:18">
      <c r="K136" s="21">
        <v>225</v>
      </c>
      <c r="L136" s="19" t="s">
        <v>851</v>
      </c>
      <c r="M136" s="23" t="s">
        <v>252</v>
      </c>
      <c r="N136" s="1"/>
    </row>
    <row r="137" spans="1:18">
      <c r="K137" s="21">
        <v>226</v>
      </c>
      <c r="L137" s="19" t="s">
        <v>852</v>
      </c>
      <c r="M137" s="23" t="s">
        <v>252</v>
      </c>
      <c r="N137" s="1"/>
    </row>
    <row r="138" spans="1:18">
      <c r="K138" s="21">
        <v>227</v>
      </c>
      <c r="L138" s="19" t="s">
        <v>853</v>
      </c>
      <c r="M138" s="23" t="s">
        <v>252</v>
      </c>
      <c r="N138" s="1"/>
    </row>
    <row r="139" spans="1:18">
      <c r="K139" s="21">
        <v>228</v>
      </c>
      <c r="L139" s="19" t="s">
        <v>854</v>
      </c>
      <c r="M139" s="23" t="s">
        <v>252</v>
      </c>
      <c r="N139" s="1"/>
    </row>
    <row r="140" spans="1:18">
      <c r="K140" s="21">
        <v>229</v>
      </c>
      <c r="L140" s="19" t="s">
        <v>855</v>
      </c>
      <c r="M140" s="23" t="s">
        <v>252</v>
      </c>
      <c r="N140" s="1"/>
    </row>
    <row r="141" spans="1:18">
      <c r="K141" s="21">
        <v>230</v>
      </c>
      <c r="L141" s="19" t="s">
        <v>856</v>
      </c>
      <c r="M141" s="23" t="s">
        <v>252</v>
      </c>
      <c r="N141" s="1"/>
      <c r="R141" s="38" t="s">
        <v>747</v>
      </c>
    </row>
    <row r="142" spans="1:18">
      <c r="K142" s="21">
        <v>231</v>
      </c>
      <c r="L142" s="19" t="s">
        <v>857</v>
      </c>
      <c r="M142" s="23" t="s">
        <v>252</v>
      </c>
      <c r="N142" s="1"/>
      <c r="R142" s="38" t="s">
        <v>748</v>
      </c>
    </row>
    <row r="143" spans="1:18">
      <c r="K143" s="21">
        <v>232</v>
      </c>
      <c r="L143" s="19" t="s">
        <v>858</v>
      </c>
      <c r="M143" s="23" t="s">
        <v>252</v>
      </c>
      <c r="N143" s="1"/>
      <c r="R143" s="38" t="s">
        <v>749</v>
      </c>
    </row>
    <row r="144" spans="1:18">
      <c r="K144" s="21">
        <v>233</v>
      </c>
      <c r="L144" s="19" t="s">
        <v>859</v>
      </c>
      <c r="M144" s="23" t="s">
        <v>252</v>
      </c>
      <c r="N144" s="1"/>
      <c r="R144" s="38" t="s">
        <v>750</v>
      </c>
    </row>
    <row r="145" spans="11:18">
      <c r="K145" s="21">
        <v>234</v>
      </c>
      <c r="L145" s="19" t="s">
        <v>860</v>
      </c>
      <c r="M145" s="23" t="s">
        <v>252</v>
      </c>
      <c r="N145" s="1"/>
      <c r="R145" s="38" t="s">
        <v>751</v>
      </c>
    </row>
    <row r="146" spans="11:18">
      <c r="K146" s="21">
        <v>235</v>
      </c>
      <c r="L146" s="19" t="s">
        <v>861</v>
      </c>
      <c r="M146" s="23" t="s">
        <v>252</v>
      </c>
      <c r="N146" s="1"/>
      <c r="R146" s="38" t="s">
        <v>752</v>
      </c>
    </row>
    <row r="147" spans="11:18">
      <c r="K147" s="21">
        <v>236</v>
      </c>
      <c r="L147" s="19" t="s">
        <v>862</v>
      </c>
      <c r="M147" s="23" t="s">
        <v>252</v>
      </c>
      <c r="N147" s="1"/>
      <c r="R147" s="38" t="s">
        <v>753</v>
      </c>
    </row>
    <row r="148" spans="11:18">
      <c r="K148" s="21">
        <v>237</v>
      </c>
      <c r="L148" s="19" t="s">
        <v>863</v>
      </c>
      <c r="M148" s="23" t="s">
        <v>252</v>
      </c>
      <c r="N148" s="1"/>
      <c r="R148" s="38" t="s">
        <v>754</v>
      </c>
    </row>
    <row r="149" spans="11:18">
      <c r="K149" s="21">
        <v>238</v>
      </c>
      <c r="L149" s="19" t="s">
        <v>864</v>
      </c>
      <c r="M149" s="23" t="s">
        <v>252</v>
      </c>
      <c r="N149" s="1"/>
      <c r="R149" s="38" t="s">
        <v>755</v>
      </c>
    </row>
    <row r="150" spans="11:18">
      <c r="K150" s="21">
        <v>239</v>
      </c>
      <c r="L150" s="19" t="s">
        <v>865</v>
      </c>
      <c r="M150" s="23" t="s">
        <v>252</v>
      </c>
      <c r="N150" s="1"/>
      <c r="R150" s="38" t="s">
        <v>756</v>
      </c>
    </row>
    <row r="151" spans="11:18">
      <c r="K151" s="21">
        <v>240</v>
      </c>
      <c r="L151" s="19" t="s">
        <v>866</v>
      </c>
      <c r="M151" s="23" t="s">
        <v>252</v>
      </c>
      <c r="N151" s="1"/>
      <c r="R151" s="38" t="s">
        <v>757</v>
      </c>
    </row>
    <row r="152" spans="11:18">
      <c r="K152" s="21">
        <v>241</v>
      </c>
      <c r="L152" s="19" t="s">
        <v>867</v>
      </c>
      <c r="M152" s="23" t="s">
        <v>252</v>
      </c>
      <c r="N152" s="19" t="s">
        <v>1154</v>
      </c>
      <c r="R152" s="38" t="s">
        <v>758</v>
      </c>
    </row>
    <row r="153" spans="11:18">
      <c r="K153" s="21">
        <v>242</v>
      </c>
      <c r="L153" s="19" t="s">
        <v>868</v>
      </c>
      <c r="M153" s="23" t="s">
        <v>252</v>
      </c>
      <c r="N153" s="19" t="s">
        <v>768</v>
      </c>
      <c r="R153" s="38" t="s">
        <v>759</v>
      </c>
    </row>
    <row r="154" spans="11:18">
      <c r="K154" s="21">
        <v>243</v>
      </c>
      <c r="L154" s="19" t="s">
        <v>869</v>
      </c>
      <c r="M154" s="23" t="s">
        <v>252</v>
      </c>
      <c r="N154" s="19" t="s">
        <v>768</v>
      </c>
      <c r="R154" s="38" t="s">
        <v>760</v>
      </c>
    </row>
    <row r="155" spans="11:18">
      <c r="K155" s="21">
        <v>244</v>
      </c>
      <c r="L155" s="19" t="s">
        <v>870</v>
      </c>
      <c r="M155" s="23" t="s">
        <v>252</v>
      </c>
      <c r="N155" s="19" t="s">
        <v>768</v>
      </c>
      <c r="R155" s="38" t="s">
        <v>761</v>
      </c>
    </row>
    <row r="156" spans="11:18">
      <c r="K156" s="21">
        <v>245</v>
      </c>
      <c r="L156" s="19" t="s">
        <v>871</v>
      </c>
      <c r="M156" s="23" t="s">
        <v>252</v>
      </c>
      <c r="N156" s="19" t="s">
        <v>768</v>
      </c>
      <c r="R156" s="38" t="s">
        <v>762</v>
      </c>
    </row>
    <row r="157" spans="11:18">
      <c r="K157" s="21">
        <v>246</v>
      </c>
      <c r="L157" s="19" t="s">
        <v>872</v>
      </c>
      <c r="M157" s="23" t="s">
        <v>252</v>
      </c>
      <c r="N157" s="19" t="s">
        <v>768</v>
      </c>
      <c r="R157" s="38" t="s">
        <v>763</v>
      </c>
    </row>
    <row r="158" spans="11:18">
      <c r="K158" s="21">
        <v>247</v>
      </c>
      <c r="L158" s="19" t="s">
        <v>873</v>
      </c>
      <c r="M158" s="23" t="s">
        <v>252</v>
      </c>
      <c r="N158" s="19" t="s">
        <v>768</v>
      </c>
      <c r="R158" s="38" t="s">
        <v>764</v>
      </c>
    </row>
    <row r="159" spans="11:18">
      <c r="K159" s="21">
        <v>248</v>
      </c>
      <c r="L159" s="19" t="s">
        <v>874</v>
      </c>
      <c r="M159" s="23" t="s">
        <v>252</v>
      </c>
      <c r="N159" s="19" t="s">
        <v>768</v>
      </c>
      <c r="R159" s="38" t="s">
        <v>765</v>
      </c>
    </row>
    <row r="160" spans="11:18">
      <c r="K160" s="21">
        <v>249</v>
      </c>
      <c r="L160" s="19" t="s">
        <v>875</v>
      </c>
      <c r="M160" s="23" t="s">
        <v>252</v>
      </c>
      <c r="N160" s="19" t="s">
        <v>768</v>
      </c>
      <c r="R160" s="38" t="s">
        <v>766</v>
      </c>
    </row>
    <row r="161" spans="11:14">
      <c r="K161" s="21">
        <v>250</v>
      </c>
      <c r="L161" s="19" t="s">
        <v>876</v>
      </c>
      <c r="M161" s="23" t="s">
        <v>252</v>
      </c>
      <c r="N161" s="19" t="s">
        <v>768</v>
      </c>
    </row>
    <row r="162" spans="11:14">
      <c r="K162" s="21">
        <v>251</v>
      </c>
      <c r="L162" s="19" t="s">
        <v>877</v>
      </c>
      <c r="M162" s="23" t="s">
        <v>252</v>
      </c>
      <c r="N162" s="19" t="s">
        <v>768</v>
      </c>
    </row>
    <row r="163" spans="11:14">
      <c r="K163" s="21">
        <v>252</v>
      </c>
      <c r="L163" s="19" t="s">
        <v>878</v>
      </c>
      <c r="M163" s="23" t="s">
        <v>252</v>
      </c>
      <c r="N163" s="19" t="s">
        <v>768</v>
      </c>
    </row>
    <row r="164" spans="11:14">
      <c r="K164" s="21">
        <v>253</v>
      </c>
      <c r="L164" s="19" t="s">
        <v>879</v>
      </c>
      <c r="M164" s="23" t="s">
        <v>252</v>
      </c>
      <c r="N164" s="19" t="s">
        <v>768</v>
      </c>
    </row>
    <row r="165" spans="11:14">
      <c r="K165" s="21">
        <v>254</v>
      </c>
      <c r="L165" s="19" t="s">
        <v>880</v>
      </c>
      <c r="M165" s="23" t="s">
        <v>252</v>
      </c>
      <c r="N165" s="19" t="s">
        <v>768</v>
      </c>
    </row>
    <row r="166" spans="11:14">
      <c r="K166" s="21">
        <v>255</v>
      </c>
      <c r="L166" s="19" t="s">
        <v>881</v>
      </c>
      <c r="M166" s="23" t="s">
        <v>252</v>
      </c>
      <c r="N166" s="19" t="s">
        <v>1155</v>
      </c>
    </row>
    <row r="167" spans="11:14">
      <c r="K167" s="21">
        <v>256</v>
      </c>
      <c r="L167" s="19" t="s">
        <v>882</v>
      </c>
      <c r="M167" s="23" t="s">
        <v>252</v>
      </c>
      <c r="N167" s="1"/>
    </row>
    <row r="168" spans="11:14">
      <c r="K168" s="21">
        <v>257</v>
      </c>
      <c r="L168" s="19" t="s">
        <v>883</v>
      </c>
      <c r="M168" s="23" t="s">
        <v>252</v>
      </c>
      <c r="N168" s="1"/>
    </row>
    <row r="169" spans="11:14">
      <c r="K169" s="21">
        <v>258</v>
      </c>
      <c r="L169" s="19" t="s">
        <v>884</v>
      </c>
      <c r="M169" s="23" t="s">
        <v>252</v>
      </c>
      <c r="N169" s="1"/>
    </row>
    <row r="170" spans="11:14">
      <c r="K170" s="21">
        <v>259</v>
      </c>
      <c r="L170" s="19" t="s">
        <v>885</v>
      </c>
      <c r="M170" s="23" t="s">
        <v>252</v>
      </c>
      <c r="N170" s="1"/>
    </row>
    <row r="171" spans="11:14">
      <c r="K171" s="21">
        <v>260</v>
      </c>
      <c r="L171" s="19" t="s">
        <v>886</v>
      </c>
      <c r="M171" s="23" t="s">
        <v>252</v>
      </c>
      <c r="N171" s="1"/>
    </row>
    <row r="172" spans="11:14">
      <c r="K172" s="21">
        <v>261</v>
      </c>
      <c r="L172" s="19" t="s">
        <v>887</v>
      </c>
      <c r="M172" s="23" t="s">
        <v>252</v>
      </c>
      <c r="N172" s="19" t="s">
        <v>1156</v>
      </c>
    </row>
    <row r="173" spans="11:14">
      <c r="K173" s="21">
        <v>262</v>
      </c>
      <c r="L173" s="19" t="s">
        <v>888</v>
      </c>
      <c r="M173" s="23" t="s">
        <v>252</v>
      </c>
      <c r="N173" s="19" t="s">
        <v>767</v>
      </c>
    </row>
    <row r="174" spans="11:14">
      <c r="K174" s="21">
        <v>263</v>
      </c>
      <c r="L174" s="19" t="s">
        <v>889</v>
      </c>
      <c r="M174" s="23" t="s">
        <v>252</v>
      </c>
      <c r="N174" s="19" t="s">
        <v>767</v>
      </c>
    </row>
    <row r="175" spans="11:14">
      <c r="K175" s="21">
        <v>264</v>
      </c>
      <c r="L175" s="19" t="s">
        <v>890</v>
      </c>
      <c r="M175" s="23" t="s">
        <v>252</v>
      </c>
      <c r="N175" s="19" t="s">
        <v>767</v>
      </c>
    </row>
    <row r="176" spans="11:14">
      <c r="K176" s="21">
        <v>265</v>
      </c>
      <c r="L176" s="19" t="s">
        <v>891</v>
      </c>
      <c r="M176" s="23" t="s">
        <v>252</v>
      </c>
      <c r="N176" s="19" t="s">
        <v>767</v>
      </c>
    </row>
    <row r="177" spans="11:14">
      <c r="K177" s="21">
        <v>266</v>
      </c>
      <c r="L177" s="19" t="s">
        <v>892</v>
      </c>
      <c r="M177" s="23" t="s">
        <v>252</v>
      </c>
      <c r="N177" s="19" t="s">
        <v>767</v>
      </c>
    </row>
    <row r="178" spans="11:14">
      <c r="K178" s="21">
        <v>267</v>
      </c>
      <c r="L178" s="19" t="s">
        <v>893</v>
      </c>
      <c r="M178" s="23" t="s">
        <v>252</v>
      </c>
      <c r="N178" s="19" t="s">
        <v>767</v>
      </c>
    </row>
    <row r="179" spans="11:14">
      <c r="K179" s="21">
        <v>268</v>
      </c>
      <c r="L179" s="19" t="s">
        <v>894</v>
      </c>
      <c r="M179" s="23" t="s">
        <v>252</v>
      </c>
      <c r="N179" s="19" t="s">
        <v>767</v>
      </c>
    </row>
    <row r="180" spans="11:14">
      <c r="K180" s="21">
        <v>269</v>
      </c>
      <c r="L180" s="19" t="s">
        <v>895</v>
      </c>
      <c r="M180" s="23" t="s">
        <v>252</v>
      </c>
      <c r="N180" s="19" t="s">
        <v>767</v>
      </c>
    </row>
    <row r="181" spans="11:14">
      <c r="K181" s="21">
        <v>270</v>
      </c>
      <c r="L181" s="19" t="s">
        <v>896</v>
      </c>
      <c r="M181" s="23" t="s">
        <v>252</v>
      </c>
      <c r="N181" s="19" t="s">
        <v>767</v>
      </c>
    </row>
    <row r="182" spans="11:14">
      <c r="K182" s="21">
        <v>271</v>
      </c>
      <c r="L182" s="19" t="s">
        <v>897</v>
      </c>
      <c r="M182" s="23" t="s">
        <v>252</v>
      </c>
      <c r="N182" s="19" t="s">
        <v>767</v>
      </c>
    </row>
    <row r="183" spans="11:14">
      <c r="K183" s="21">
        <v>272</v>
      </c>
      <c r="L183" s="19" t="s">
        <v>898</v>
      </c>
      <c r="M183" s="23" t="s">
        <v>252</v>
      </c>
      <c r="N183" s="19" t="s">
        <v>767</v>
      </c>
    </row>
    <row r="184" spans="11:14">
      <c r="K184" s="21">
        <v>273</v>
      </c>
      <c r="L184" s="19" t="s">
        <v>899</v>
      </c>
      <c r="M184" s="23" t="s">
        <v>252</v>
      </c>
      <c r="N184" s="19" t="s">
        <v>767</v>
      </c>
    </row>
    <row r="185" spans="11:14">
      <c r="K185" s="21">
        <v>274</v>
      </c>
      <c r="L185" s="19" t="s">
        <v>900</v>
      </c>
      <c r="M185" s="23" t="s">
        <v>252</v>
      </c>
      <c r="N185" s="19" t="s">
        <v>767</v>
      </c>
    </row>
    <row r="186" spans="11:14">
      <c r="K186" s="21">
        <v>275</v>
      </c>
      <c r="L186" s="19" t="s">
        <v>901</v>
      </c>
      <c r="M186" s="23" t="s">
        <v>252</v>
      </c>
      <c r="N186" s="19" t="s">
        <v>1157</v>
      </c>
    </row>
    <row r="187" spans="11:14">
      <c r="K187" s="21">
        <v>276</v>
      </c>
      <c r="L187" s="19" t="s">
        <v>902</v>
      </c>
      <c r="M187" s="23" t="s">
        <v>252</v>
      </c>
      <c r="N187" s="1"/>
    </row>
    <row r="188" spans="11:14">
      <c r="K188" s="21">
        <v>277</v>
      </c>
      <c r="L188" s="19" t="s">
        <v>903</v>
      </c>
      <c r="M188" s="23" t="s">
        <v>252</v>
      </c>
      <c r="N188" s="1"/>
    </row>
    <row r="189" spans="11:14">
      <c r="K189" s="21">
        <v>278</v>
      </c>
      <c r="L189" s="19" t="s">
        <v>904</v>
      </c>
      <c r="M189" s="23" t="s">
        <v>252</v>
      </c>
      <c r="N189" s="1"/>
    </row>
    <row r="190" spans="11:14">
      <c r="K190" s="21">
        <v>279</v>
      </c>
      <c r="L190" s="19" t="s">
        <v>905</v>
      </c>
      <c r="M190" s="23" t="s">
        <v>252</v>
      </c>
      <c r="N190" s="1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86D9-5078-4F10-B7AE-B99FFE10F41B}">
  <dimension ref="A1:A99"/>
  <sheetViews>
    <sheetView topLeftCell="A70" workbookViewId="0">
      <selection activeCell="A91" sqref="A91"/>
    </sheetView>
  </sheetViews>
  <sheetFormatPr defaultRowHeight="14.25"/>
  <cols>
    <col min="1" max="1" width="45" bestFit="1" customWidth="1"/>
  </cols>
  <sheetData>
    <row r="1" spans="1:1">
      <c r="A1" t="s">
        <v>1677</v>
      </c>
    </row>
    <row r="2" spans="1:1">
      <c r="A2" t="s">
        <v>1678</v>
      </c>
    </row>
    <row r="3" spans="1:1">
      <c r="A3" t="s">
        <v>1679</v>
      </c>
    </row>
    <row r="4" spans="1:1">
      <c r="A4" t="s">
        <v>1680</v>
      </c>
    </row>
    <row r="5" spans="1:1">
      <c r="A5" t="s">
        <v>1681</v>
      </c>
    </row>
    <row r="6" spans="1:1">
      <c r="A6" t="s">
        <v>1682</v>
      </c>
    </row>
    <row r="7" spans="1:1">
      <c r="A7" t="s">
        <v>1683</v>
      </c>
    </row>
    <row r="8" spans="1:1">
      <c r="A8" t="s">
        <v>1684</v>
      </c>
    </row>
    <row r="9" spans="1:1">
      <c r="A9" t="s">
        <v>1685</v>
      </c>
    </row>
    <row r="10" spans="1:1">
      <c r="A10" t="s">
        <v>1686</v>
      </c>
    </row>
    <row r="11" spans="1:1">
      <c r="A11" t="s">
        <v>1687</v>
      </c>
    </row>
    <row r="12" spans="1:1">
      <c r="A12" t="s">
        <v>1688</v>
      </c>
    </row>
    <row r="13" spans="1:1">
      <c r="A13" t="s">
        <v>1689</v>
      </c>
    </row>
    <row r="14" spans="1:1">
      <c r="A14" t="s">
        <v>1690</v>
      </c>
    </row>
    <row r="15" spans="1:1">
      <c r="A15" t="s">
        <v>1691</v>
      </c>
    </row>
    <row r="16" spans="1:1">
      <c r="A16" t="s">
        <v>1692</v>
      </c>
    </row>
    <row r="17" spans="1:1">
      <c r="A17" t="s">
        <v>1693</v>
      </c>
    </row>
    <row r="18" spans="1:1">
      <c r="A18" t="s">
        <v>1694</v>
      </c>
    </row>
    <row r="19" spans="1:1">
      <c r="A19" t="s">
        <v>1695</v>
      </c>
    </row>
    <row r="20" spans="1:1">
      <c r="A20" t="s">
        <v>1696</v>
      </c>
    </row>
    <row r="21" spans="1:1">
      <c r="A21" t="s">
        <v>1688</v>
      </c>
    </row>
    <row r="22" spans="1:1">
      <c r="A22" t="s">
        <v>1697</v>
      </c>
    </row>
    <row r="23" spans="1:1">
      <c r="A23" t="s">
        <v>1698</v>
      </c>
    </row>
    <row r="24" spans="1:1">
      <c r="A24" t="s">
        <v>1699</v>
      </c>
    </row>
    <row r="25" spans="1:1">
      <c r="A25" t="s">
        <v>1700</v>
      </c>
    </row>
    <row r="26" spans="1:1">
      <c r="A26" t="s">
        <v>1701</v>
      </c>
    </row>
    <row r="27" spans="1:1">
      <c r="A27" t="s">
        <v>1702</v>
      </c>
    </row>
    <row r="28" spans="1:1">
      <c r="A28" t="s">
        <v>1703</v>
      </c>
    </row>
    <row r="29" spans="1:1">
      <c r="A29" t="s">
        <v>1704</v>
      </c>
    </row>
    <row r="30" spans="1:1">
      <c r="A30" t="s">
        <v>1705</v>
      </c>
    </row>
    <row r="31" spans="1:1">
      <c r="A31" t="s">
        <v>1706</v>
      </c>
    </row>
    <row r="32" spans="1:1">
      <c r="A32" t="s">
        <v>1707</v>
      </c>
    </row>
    <row r="33" spans="1:1">
      <c r="A33" t="s">
        <v>1708</v>
      </c>
    </row>
    <row r="34" spans="1:1">
      <c r="A34" t="s">
        <v>1709</v>
      </c>
    </row>
    <row r="35" spans="1:1">
      <c r="A35" t="s">
        <v>1710</v>
      </c>
    </row>
    <row r="36" spans="1:1">
      <c r="A36" t="s">
        <v>1711</v>
      </c>
    </row>
    <row r="37" spans="1:1">
      <c r="A37" t="s">
        <v>1712</v>
      </c>
    </row>
    <row r="38" spans="1:1">
      <c r="A38" t="s">
        <v>1713</v>
      </c>
    </row>
    <row r="39" spans="1:1">
      <c r="A39" t="s">
        <v>1714</v>
      </c>
    </row>
    <row r="40" spans="1:1">
      <c r="A40" t="s">
        <v>1715</v>
      </c>
    </row>
    <row r="41" spans="1:1">
      <c r="A41" t="s">
        <v>1716</v>
      </c>
    </row>
    <row r="42" spans="1:1">
      <c r="A42" t="s">
        <v>1688</v>
      </c>
    </row>
    <row r="43" spans="1:1">
      <c r="A43" t="s">
        <v>1717</v>
      </c>
    </row>
    <row r="44" spans="1:1">
      <c r="A44">
        <v>10</v>
      </c>
    </row>
    <row r="45" spans="1:1">
      <c r="A45">
        <v>20</v>
      </c>
    </row>
    <row r="46" spans="1:1">
      <c r="A46">
        <v>30</v>
      </c>
    </row>
    <row r="47" spans="1:1">
      <c r="A47">
        <v>40</v>
      </c>
    </row>
    <row r="48" spans="1:1">
      <c r="A48">
        <v>50</v>
      </c>
    </row>
    <row r="49" spans="1:1">
      <c r="A49">
        <v>100</v>
      </c>
    </row>
    <row r="50" spans="1:1">
      <c r="A50">
        <v>200</v>
      </c>
    </row>
    <row r="51" spans="1:1">
      <c r="A51">
        <v>500</v>
      </c>
    </row>
    <row r="52" spans="1:1">
      <c r="A52">
        <v>1000</v>
      </c>
    </row>
    <row r="53" spans="1:1">
      <c r="A53">
        <v>1100</v>
      </c>
    </row>
    <row r="54" spans="1:1">
      <c r="A54" t="s">
        <v>1688</v>
      </c>
    </row>
    <row r="55" spans="1:1">
      <c r="A55" t="s">
        <v>1718</v>
      </c>
    </row>
    <row r="56" spans="1:1">
      <c r="A56">
        <v>30</v>
      </c>
    </row>
    <row r="57" spans="1:1">
      <c r="A57">
        <v>45</v>
      </c>
    </row>
    <row r="58" spans="1:1">
      <c r="A58">
        <v>60</v>
      </c>
    </row>
    <row r="59" spans="1:1">
      <c r="A59">
        <v>75</v>
      </c>
    </row>
    <row r="60" spans="1:1">
      <c r="A60">
        <v>90</v>
      </c>
    </row>
    <row r="61" spans="1:1">
      <c r="A61">
        <v>95</v>
      </c>
    </row>
    <row r="62" spans="1:1">
      <c r="A62">
        <v>100</v>
      </c>
    </row>
    <row r="63" spans="1:1">
      <c r="A63">
        <v>110</v>
      </c>
    </row>
    <row r="64" spans="1:1">
      <c r="A64">
        <v>120</v>
      </c>
    </row>
    <row r="65" spans="1:1">
      <c r="A65">
        <v>145</v>
      </c>
    </row>
    <row r="66" spans="1:1">
      <c r="A66" t="s">
        <v>1688</v>
      </c>
    </row>
    <row r="67" spans="1:1">
      <c r="A67" t="s">
        <v>1719</v>
      </c>
    </row>
    <row r="68" spans="1:1">
      <c r="A68" t="s">
        <v>1720</v>
      </c>
    </row>
    <row r="69" spans="1:1">
      <c r="A69" t="s">
        <v>1721</v>
      </c>
    </row>
    <row r="70" spans="1:1">
      <c r="A70" t="s">
        <v>1722</v>
      </c>
    </row>
    <row r="71" spans="1:1">
      <c r="A71" t="s">
        <v>1723</v>
      </c>
    </row>
    <row r="72" spans="1:1">
      <c r="A72" t="s">
        <v>1724</v>
      </c>
    </row>
    <row r="73" spans="1:1">
      <c r="A73" t="s">
        <v>1725</v>
      </c>
    </row>
    <row r="74" spans="1:1">
      <c r="A74" t="s">
        <v>1726</v>
      </c>
    </row>
    <row r="75" spans="1:1">
      <c r="A75" t="s">
        <v>1727</v>
      </c>
    </row>
    <row r="76" spans="1:1">
      <c r="A76" t="s">
        <v>1728</v>
      </c>
    </row>
    <row r="77" spans="1:1">
      <c r="A77" t="s">
        <v>1688</v>
      </c>
    </row>
    <row r="78" spans="1:1">
      <c r="A78" t="s">
        <v>1729</v>
      </c>
    </row>
    <row r="79" spans="1:1">
      <c r="A79" t="s">
        <v>1730</v>
      </c>
    </row>
    <row r="80" spans="1:1">
      <c r="A80" t="s">
        <v>1731</v>
      </c>
    </row>
    <row r="81" spans="1:1">
      <c r="A81" t="s">
        <v>1732</v>
      </c>
    </row>
    <row r="82" spans="1:1">
      <c r="A82" t="s">
        <v>1733</v>
      </c>
    </row>
    <row r="83" spans="1:1">
      <c r="A83" t="s">
        <v>1734</v>
      </c>
    </row>
    <row r="84" spans="1:1">
      <c r="A84" t="s">
        <v>1735</v>
      </c>
    </row>
    <row r="85" spans="1:1">
      <c r="A85" t="s">
        <v>1736</v>
      </c>
    </row>
    <row r="86" spans="1:1">
      <c r="A86" t="s">
        <v>1737</v>
      </c>
    </row>
    <row r="87" spans="1:1">
      <c r="A87" t="s">
        <v>1738</v>
      </c>
    </row>
    <row r="88" spans="1:1">
      <c r="A88" t="s">
        <v>1739</v>
      </c>
    </row>
    <row r="89" spans="1:1">
      <c r="A89" t="s">
        <v>1740</v>
      </c>
    </row>
    <row r="90" spans="1:1">
      <c r="A90" t="s">
        <v>1741</v>
      </c>
    </row>
    <row r="91" spans="1:1">
      <c r="A91" t="s">
        <v>1688</v>
      </c>
    </row>
    <row r="92" spans="1:1">
      <c r="A92" t="s">
        <v>1742</v>
      </c>
    </row>
    <row r="93" spans="1:1">
      <c r="A93" t="s">
        <v>1743</v>
      </c>
    </row>
    <row r="94" spans="1:1">
      <c r="A94" t="s">
        <v>1744</v>
      </c>
    </row>
    <row r="95" spans="1:1">
      <c r="A95" t="s">
        <v>1745</v>
      </c>
    </row>
    <row r="96" spans="1:1">
      <c r="A96" t="s">
        <v>1688</v>
      </c>
    </row>
    <row r="97" spans="1:1">
      <c r="A97" t="s">
        <v>1746</v>
      </c>
    </row>
    <row r="98" spans="1:1">
      <c r="A98" t="s">
        <v>1747</v>
      </c>
    </row>
    <row r="99" spans="1:1">
      <c r="A99" t="s">
        <v>1748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2999-9A01-4CAE-886C-5BCB07264F8D}">
  <dimension ref="A1:J31"/>
  <sheetViews>
    <sheetView workbookViewId="0">
      <selection activeCell="C16" sqref="C16:G26"/>
    </sheetView>
  </sheetViews>
  <sheetFormatPr defaultRowHeight="14.25"/>
  <cols>
    <col min="2" max="3" width="9" style="22"/>
    <col min="4" max="4" width="5.625" style="67" customWidth="1"/>
    <col min="5" max="5" width="9" style="22"/>
    <col min="6" max="6" width="5.875" style="67" customWidth="1"/>
    <col min="7" max="7" width="9" style="22"/>
    <col min="8" max="8" width="9.75" style="22" customWidth="1"/>
    <col min="9" max="9" width="9.5" customWidth="1"/>
  </cols>
  <sheetData>
    <row r="1" spans="1:10" s="62" customFormat="1" ht="15.75">
      <c r="A1" s="68"/>
      <c r="B1" s="68" t="s">
        <v>1206</v>
      </c>
      <c r="C1" s="68" t="s">
        <v>1205</v>
      </c>
      <c r="D1" s="69" t="s">
        <v>1218</v>
      </c>
      <c r="E1" s="68" t="s">
        <v>1207</v>
      </c>
      <c r="F1" s="69" t="s">
        <v>1219</v>
      </c>
      <c r="G1" s="68" t="s">
        <v>1208</v>
      </c>
      <c r="H1" s="68" t="s">
        <v>1209</v>
      </c>
      <c r="I1" s="68" t="s">
        <v>1210</v>
      </c>
    </row>
    <row r="2" spans="1:10" s="26" customFormat="1">
      <c r="A2" s="70" t="s">
        <v>1211</v>
      </c>
      <c r="B2" s="70">
        <v>3000</v>
      </c>
      <c r="C2" s="70">
        <f>SUM(C4:C21)</f>
        <v>300</v>
      </c>
      <c r="D2" s="69"/>
      <c r="E2" s="70">
        <f>SUM(E4:E21)</f>
        <v>300</v>
      </c>
      <c r="F2" s="69"/>
      <c r="G2" s="70"/>
      <c r="H2" s="70">
        <v>358.5</v>
      </c>
      <c r="I2" s="71">
        <v>2248.5</v>
      </c>
    </row>
    <row r="3" spans="1:10" s="26" customFormat="1">
      <c r="A3" s="1" t="s">
        <v>1217</v>
      </c>
      <c r="B3" s="1"/>
      <c r="C3" s="34">
        <v>0</v>
      </c>
      <c r="D3" s="72">
        <f>C2</f>
        <v>300</v>
      </c>
      <c r="E3" s="34">
        <v>0</v>
      </c>
      <c r="F3" s="72">
        <f>E2</f>
        <v>300</v>
      </c>
      <c r="G3" s="1">
        <f>(D3-F3)/B2*1000</f>
        <v>0</v>
      </c>
      <c r="H3" s="73">
        <f t="shared" ref="H3:H8" si="0">D3+G3*$H$2/1000</f>
        <v>300</v>
      </c>
      <c r="I3" s="73">
        <f t="shared" ref="I3:I8" si="1">D3+G3*$I$2/1000</f>
        <v>300</v>
      </c>
      <c r="J3"/>
    </row>
    <row r="4" spans="1:10">
      <c r="A4" s="1" t="s">
        <v>1212</v>
      </c>
      <c r="B4" s="34"/>
      <c r="C4" s="34">
        <v>75</v>
      </c>
      <c r="D4" s="72">
        <f>D3-C4</f>
        <v>225</v>
      </c>
      <c r="E4" s="34">
        <v>50</v>
      </c>
      <c r="F4" s="72">
        <f>F3-E4</f>
        <v>250</v>
      </c>
      <c r="G4" s="1">
        <f>(F4-D4)/$B$2*1000</f>
        <v>8.3333333333333339</v>
      </c>
      <c r="H4" s="73">
        <f t="shared" si="0"/>
        <v>227.98750000000001</v>
      </c>
      <c r="I4" s="73">
        <f t="shared" si="1"/>
        <v>243.73750000000001</v>
      </c>
    </row>
    <row r="5" spans="1:10">
      <c r="A5" s="1" t="s">
        <v>1213</v>
      </c>
      <c r="B5" s="34"/>
      <c r="C5" s="34">
        <v>50</v>
      </c>
      <c r="D5" s="72">
        <f>D4-C5</f>
        <v>175</v>
      </c>
      <c r="E5" s="34">
        <v>50</v>
      </c>
      <c r="F5" s="72">
        <f>F4-E5</f>
        <v>200</v>
      </c>
      <c r="G5" s="1">
        <f>(F5-D5)/$B$2*1000</f>
        <v>8.3333333333333339</v>
      </c>
      <c r="H5" s="73">
        <f t="shared" si="0"/>
        <v>177.98750000000001</v>
      </c>
      <c r="I5" s="73">
        <f t="shared" si="1"/>
        <v>193.73750000000001</v>
      </c>
    </row>
    <row r="6" spans="1:10">
      <c r="A6" s="1" t="s">
        <v>1214</v>
      </c>
      <c r="B6" s="34"/>
      <c r="C6" s="34">
        <v>50</v>
      </c>
      <c r="D6" s="72">
        <f>D5-C6</f>
        <v>125</v>
      </c>
      <c r="E6" s="34">
        <v>100</v>
      </c>
      <c r="F6" s="72">
        <f>F5-E6</f>
        <v>100</v>
      </c>
      <c r="G6" s="1">
        <f>(F6-D6)/$B$2*1000</f>
        <v>-8.3333333333333339</v>
      </c>
      <c r="H6" s="73">
        <f t="shared" si="0"/>
        <v>122.0125</v>
      </c>
      <c r="I6" s="73">
        <f t="shared" si="1"/>
        <v>106.2625</v>
      </c>
    </row>
    <row r="7" spans="1:10">
      <c r="A7" s="1" t="s">
        <v>1215</v>
      </c>
      <c r="B7" s="34"/>
      <c r="C7" s="34">
        <v>50</v>
      </c>
      <c r="D7" s="72">
        <f>D6-C7</f>
        <v>75</v>
      </c>
      <c r="E7" s="34">
        <v>50</v>
      </c>
      <c r="F7" s="72">
        <f>F6-E7</f>
        <v>50</v>
      </c>
      <c r="G7" s="1">
        <f>(F7-D7)/$B$2*1000</f>
        <v>-8.3333333333333339</v>
      </c>
      <c r="H7" s="73">
        <f t="shared" si="0"/>
        <v>72.012500000000003</v>
      </c>
      <c r="I7" s="73">
        <f t="shared" si="1"/>
        <v>56.262500000000003</v>
      </c>
    </row>
    <row r="8" spans="1:10">
      <c r="A8" s="1" t="s">
        <v>1216</v>
      </c>
      <c r="B8" s="34"/>
      <c r="C8" s="34">
        <v>75</v>
      </c>
      <c r="D8" s="72">
        <f>D7-C8</f>
        <v>0</v>
      </c>
      <c r="E8" s="34">
        <v>50</v>
      </c>
      <c r="F8" s="72">
        <f>F7-E8</f>
        <v>0</v>
      </c>
      <c r="G8" s="1">
        <f>(F8-D8)/$B$2*1000</f>
        <v>0</v>
      </c>
      <c r="H8" s="73">
        <f t="shared" si="0"/>
        <v>0</v>
      </c>
      <c r="I8" s="73">
        <f t="shared" si="1"/>
        <v>0</v>
      </c>
    </row>
    <row r="23" spans="6:10">
      <c r="F23" s="22"/>
      <c r="G23" s="67"/>
      <c r="I23" s="67"/>
      <c r="J23" s="22"/>
    </row>
    <row r="24" spans="6:10">
      <c r="F24" s="22"/>
      <c r="G24" s="67"/>
      <c r="I24" s="67"/>
      <c r="J24" s="22"/>
    </row>
    <row r="25" spans="6:10">
      <c r="F25" s="22"/>
      <c r="G25" s="67"/>
      <c r="I25" s="67"/>
      <c r="J25" s="22"/>
    </row>
    <row r="26" spans="6:10">
      <c r="F26" s="22"/>
      <c r="G26" s="67"/>
      <c r="I26" s="67"/>
      <c r="J26" s="22"/>
    </row>
    <row r="27" spans="6:10">
      <c r="F27" s="22"/>
      <c r="G27" s="67"/>
      <c r="I27" s="67"/>
      <c r="J27" s="22"/>
    </row>
    <row r="28" spans="6:10">
      <c r="F28" s="22"/>
      <c r="G28" s="67"/>
      <c r="I28" s="67"/>
      <c r="J28" s="22"/>
    </row>
    <row r="29" spans="6:10">
      <c r="F29" s="22"/>
      <c r="G29" s="67"/>
      <c r="I29" s="67"/>
      <c r="J29" s="22"/>
    </row>
    <row r="30" spans="6:10">
      <c r="F30" s="22"/>
      <c r="G30" s="67"/>
      <c r="I30" s="67"/>
      <c r="J30" s="22"/>
    </row>
    <row r="31" spans="6:10">
      <c r="F31" s="22"/>
      <c r="G31" s="67"/>
      <c r="I31" s="67"/>
      <c r="J31" s="2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06BB-1BC5-4B4B-9586-716B69EF9CC8}">
  <dimension ref="A1:O19"/>
  <sheetViews>
    <sheetView workbookViewId="0">
      <selection activeCell="G15" sqref="G15"/>
    </sheetView>
  </sheetViews>
  <sheetFormatPr defaultRowHeight="14.25"/>
  <cols>
    <col min="1" max="1" width="21.75" customWidth="1"/>
    <col min="3" max="3" width="6.125" customWidth="1"/>
    <col min="4" max="4" width="2.875" customWidth="1"/>
    <col min="5" max="5" width="31" customWidth="1"/>
    <col min="6" max="6" width="12.75" customWidth="1"/>
    <col min="7" max="7" width="3" customWidth="1"/>
    <col min="8" max="8" width="8.25" customWidth="1"/>
    <col min="9" max="9" width="10" customWidth="1"/>
    <col min="10" max="10" width="3.375" customWidth="1"/>
    <col min="13" max="13" width="3.875" customWidth="1"/>
  </cols>
  <sheetData>
    <row r="1" spans="1:15">
      <c r="A1" s="135" t="s">
        <v>647</v>
      </c>
      <c r="B1" s="135"/>
      <c r="C1" s="135"/>
      <c r="E1" s="135" t="s">
        <v>682</v>
      </c>
      <c r="F1" s="135"/>
      <c r="H1" s="134" t="s">
        <v>683</v>
      </c>
      <c r="I1" s="134"/>
      <c r="K1" s="134" t="s">
        <v>685</v>
      </c>
      <c r="L1" s="134"/>
      <c r="N1" s="134" t="s">
        <v>687</v>
      </c>
      <c r="O1" s="134"/>
    </row>
    <row r="2" spans="1:15">
      <c r="A2" s="1" t="s">
        <v>648</v>
      </c>
      <c r="B2" s="1" t="s">
        <v>649</v>
      </c>
      <c r="C2" s="1" t="s">
        <v>652</v>
      </c>
      <c r="E2" s="1" t="s">
        <v>671</v>
      </c>
      <c r="F2" s="1" t="s">
        <v>688</v>
      </c>
    </row>
    <row r="3" spans="1:15">
      <c r="A3" s="1" t="s">
        <v>651</v>
      </c>
      <c r="B3" s="1"/>
      <c r="C3" s="1" t="s">
        <v>653</v>
      </c>
      <c r="E3" s="1" t="s">
        <v>672</v>
      </c>
      <c r="F3" s="33" t="s">
        <v>689</v>
      </c>
    </row>
    <row r="4" spans="1:15">
      <c r="A4" s="1" t="s">
        <v>650</v>
      </c>
      <c r="B4" s="1"/>
      <c r="C4" s="1" t="s">
        <v>654</v>
      </c>
      <c r="E4" s="1" t="s">
        <v>673</v>
      </c>
      <c r="F4" s="34">
        <v>56</v>
      </c>
    </row>
    <row r="5" spans="1:15">
      <c r="A5" s="1" t="s">
        <v>655</v>
      </c>
      <c r="B5" s="1" t="s">
        <v>657</v>
      </c>
      <c r="C5" s="1" t="s">
        <v>658</v>
      </c>
      <c r="E5" s="4" t="s">
        <v>695</v>
      </c>
      <c r="F5" s="36" t="s">
        <v>696</v>
      </c>
    </row>
    <row r="6" spans="1:15">
      <c r="A6" s="1" t="s">
        <v>656</v>
      </c>
      <c r="B6" s="1" t="s">
        <v>657</v>
      </c>
      <c r="C6" s="1" t="s">
        <v>658</v>
      </c>
      <c r="E6" s="35" t="s">
        <v>674</v>
      </c>
      <c r="F6" s="37" t="s">
        <v>696</v>
      </c>
    </row>
    <row r="7" spans="1:15">
      <c r="E7" s="1" t="s">
        <v>693</v>
      </c>
      <c r="F7" s="1"/>
    </row>
    <row r="8" spans="1:15">
      <c r="A8" s="135" t="s">
        <v>659</v>
      </c>
      <c r="B8" s="135"/>
      <c r="C8" s="135"/>
      <c r="E8" s="1" t="s">
        <v>694</v>
      </c>
      <c r="F8" s="1"/>
    </row>
    <row r="9" spans="1:15">
      <c r="A9" s="1" t="s">
        <v>660</v>
      </c>
      <c r="B9" s="1"/>
      <c r="C9" s="1"/>
      <c r="E9" s="1" t="s">
        <v>690</v>
      </c>
      <c r="F9" s="1"/>
    </row>
    <row r="10" spans="1:15">
      <c r="A10" s="1" t="s">
        <v>661</v>
      </c>
      <c r="B10" s="1"/>
      <c r="C10" s="1"/>
      <c r="E10" s="1" t="s">
        <v>691</v>
      </c>
      <c r="F10" s="1"/>
    </row>
    <row r="11" spans="1:15">
      <c r="A11" s="1" t="s">
        <v>662</v>
      </c>
      <c r="B11" s="1"/>
      <c r="C11" s="1"/>
      <c r="E11" s="1" t="s">
        <v>692</v>
      </c>
      <c r="F11" s="1"/>
    </row>
    <row r="12" spans="1:15">
      <c r="A12" s="1" t="s">
        <v>663</v>
      </c>
      <c r="B12" s="1"/>
      <c r="C12" s="1"/>
      <c r="E12" s="4" t="s">
        <v>675</v>
      </c>
      <c r="F12" s="36" t="s">
        <v>696</v>
      </c>
      <c r="K12" s="134" t="s">
        <v>686</v>
      </c>
      <c r="L12" s="134"/>
    </row>
    <row r="13" spans="1:15">
      <c r="A13" s="1" t="s">
        <v>664</v>
      </c>
      <c r="B13" s="1"/>
      <c r="C13" s="1"/>
      <c r="E13" s="35" t="s">
        <v>676</v>
      </c>
      <c r="F13" s="37" t="s">
        <v>696</v>
      </c>
    </row>
    <row r="14" spans="1:15">
      <c r="A14" s="1"/>
      <c r="B14" s="1"/>
      <c r="C14" s="1"/>
      <c r="E14" s="1" t="s">
        <v>677</v>
      </c>
      <c r="F14" s="34">
        <v>1220</v>
      </c>
    </row>
    <row r="15" spans="1:15">
      <c r="A15" s="1" t="s">
        <v>665</v>
      </c>
      <c r="B15" s="1" t="s">
        <v>666</v>
      </c>
      <c r="C15" s="1" t="s">
        <v>669</v>
      </c>
      <c r="E15" s="1" t="s">
        <v>678</v>
      </c>
      <c r="F15" s="34">
        <v>1220</v>
      </c>
    </row>
    <row r="16" spans="1:15">
      <c r="A16" s="1" t="s">
        <v>668</v>
      </c>
      <c r="B16" s="1" t="s">
        <v>667</v>
      </c>
      <c r="C16" s="1" t="s">
        <v>670</v>
      </c>
      <c r="E16" s="1" t="s">
        <v>679</v>
      </c>
      <c r="F16" s="34">
        <v>1220</v>
      </c>
    </row>
    <row r="17" spans="5:6">
      <c r="E17" s="1" t="s">
        <v>680</v>
      </c>
      <c r="F17" s="34">
        <v>1220</v>
      </c>
    </row>
    <row r="18" spans="5:6">
      <c r="E18" s="1"/>
      <c r="F18" s="1"/>
    </row>
    <row r="19" spans="5:6">
      <c r="E19" s="1" t="s">
        <v>681</v>
      </c>
      <c r="F19" s="1" t="s">
        <v>684</v>
      </c>
    </row>
  </sheetData>
  <mergeCells count="7">
    <mergeCell ref="K12:L12"/>
    <mergeCell ref="N1:O1"/>
    <mergeCell ref="A8:C8"/>
    <mergeCell ref="A1:C1"/>
    <mergeCell ref="E1:F1"/>
    <mergeCell ref="H1:I1"/>
    <mergeCell ref="K1:L1"/>
  </mergeCells>
  <phoneticPr fontId="1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F3C9-1773-412B-8BF8-10738D271B7E}">
  <dimension ref="A1:D35"/>
  <sheetViews>
    <sheetView zoomScale="115" zoomScaleNormal="115" workbookViewId="0">
      <selection activeCell="K12" sqref="K12"/>
    </sheetView>
  </sheetViews>
  <sheetFormatPr defaultRowHeight="14.25"/>
  <cols>
    <col min="2" max="2" width="16.125" customWidth="1"/>
    <col min="4" max="4" width="24.75" customWidth="1"/>
  </cols>
  <sheetData>
    <row r="1" spans="1:4">
      <c r="A1" s="48" t="s">
        <v>1061</v>
      </c>
      <c r="B1" s="49" t="s">
        <v>1062</v>
      </c>
      <c r="C1" s="49" t="s">
        <v>1063</v>
      </c>
      <c r="D1" s="49" t="s">
        <v>1064</v>
      </c>
    </row>
    <row r="2" spans="1:4">
      <c r="A2" s="50" t="s">
        <v>1065</v>
      </c>
      <c r="B2" s="51" t="s">
        <v>1066</v>
      </c>
      <c r="C2" s="52"/>
      <c r="D2" s="53" t="s">
        <v>1069</v>
      </c>
    </row>
    <row r="3" spans="1:4">
      <c r="A3" s="50" t="s">
        <v>1067</v>
      </c>
      <c r="B3" s="51" t="s">
        <v>1068</v>
      </c>
      <c r="C3" s="52"/>
      <c r="D3" s="53" t="s">
        <v>1069</v>
      </c>
    </row>
    <row r="4" spans="1:4">
      <c r="A4" s="50" t="s">
        <v>1070</v>
      </c>
      <c r="B4" s="51" t="s">
        <v>1071</v>
      </c>
      <c r="C4" s="52"/>
      <c r="D4" s="53" t="s">
        <v>1069</v>
      </c>
    </row>
    <row r="5" spans="1:4">
      <c r="A5" s="50" t="s">
        <v>1072</v>
      </c>
      <c r="B5" s="51" t="s">
        <v>1073</v>
      </c>
      <c r="C5" s="52"/>
      <c r="D5" s="53" t="s">
        <v>1069</v>
      </c>
    </row>
    <row r="6" spans="1:4">
      <c r="A6" s="50" t="s">
        <v>1074</v>
      </c>
      <c r="B6" s="51" t="s">
        <v>1075</v>
      </c>
      <c r="C6" s="52"/>
      <c r="D6" s="53" t="s">
        <v>1069</v>
      </c>
    </row>
    <row r="7" spans="1:4">
      <c r="A7" s="50" t="s">
        <v>1076</v>
      </c>
      <c r="B7" s="51" t="s">
        <v>1077</v>
      </c>
      <c r="C7" s="52"/>
      <c r="D7" s="53" t="s">
        <v>1069</v>
      </c>
    </row>
    <row r="8" spans="1:4">
      <c r="A8" s="50" t="s">
        <v>1099</v>
      </c>
      <c r="B8" s="51" t="s">
        <v>1129</v>
      </c>
      <c r="C8" s="52" t="s">
        <v>1121</v>
      </c>
      <c r="D8" s="53"/>
    </row>
    <row r="9" spans="1:4">
      <c r="A9" s="50" t="s">
        <v>1127</v>
      </c>
      <c r="B9" s="51" t="s">
        <v>1130</v>
      </c>
      <c r="C9" s="52" t="s">
        <v>1128</v>
      </c>
      <c r="D9" s="53"/>
    </row>
    <row r="10" spans="1:4">
      <c r="A10" s="50" t="s">
        <v>1078</v>
      </c>
      <c r="B10" s="51" t="s">
        <v>1079</v>
      </c>
      <c r="C10" s="52" t="s">
        <v>1080</v>
      </c>
      <c r="D10" s="53" t="s">
        <v>1081</v>
      </c>
    </row>
    <row r="11" spans="1:4">
      <c r="A11" s="50" t="s">
        <v>1082</v>
      </c>
      <c r="B11" s="51" t="s">
        <v>1083</v>
      </c>
      <c r="C11" s="52" t="s">
        <v>1084</v>
      </c>
      <c r="D11" s="53" t="s">
        <v>1085</v>
      </c>
    </row>
    <row r="12" spans="1:4">
      <c r="A12" s="50" t="s">
        <v>1086</v>
      </c>
      <c r="B12" s="51" t="s">
        <v>1087</v>
      </c>
      <c r="C12" s="54" t="s">
        <v>1088</v>
      </c>
      <c r="D12" s="55" t="s">
        <v>1123</v>
      </c>
    </row>
    <row r="13" spans="1:4">
      <c r="A13" s="50" t="s">
        <v>1089</v>
      </c>
      <c r="B13" s="51" t="s">
        <v>1090</v>
      </c>
      <c r="C13" s="54" t="s">
        <v>1091</v>
      </c>
      <c r="D13" s="55" t="s">
        <v>1122</v>
      </c>
    </row>
    <row r="14" spans="1:4">
      <c r="A14" s="50" t="s">
        <v>1092</v>
      </c>
      <c r="B14" s="51" t="s">
        <v>1093</v>
      </c>
      <c r="C14" s="54" t="s">
        <v>1094</v>
      </c>
      <c r="D14" s="55" t="s">
        <v>1111</v>
      </c>
    </row>
    <row r="15" spans="1:4">
      <c r="A15" s="50" t="s">
        <v>1095</v>
      </c>
      <c r="B15" s="51" t="s">
        <v>1096</v>
      </c>
      <c r="C15" s="52" t="s">
        <v>1121</v>
      </c>
      <c r="D15" s="55"/>
    </row>
    <row r="16" spans="1:4">
      <c r="A16" s="50" t="s">
        <v>1097</v>
      </c>
      <c r="B16" s="51" t="s">
        <v>1098</v>
      </c>
      <c r="C16" s="56" t="s">
        <v>1125</v>
      </c>
      <c r="D16" s="55" t="s">
        <v>1126</v>
      </c>
    </row>
    <row r="17" spans="1:4">
      <c r="A17" s="50" t="s">
        <v>1099</v>
      </c>
      <c r="B17" s="51" t="s">
        <v>1100</v>
      </c>
      <c r="C17" s="54" t="s">
        <v>1101</v>
      </c>
      <c r="D17" s="55" t="s">
        <v>1124</v>
      </c>
    </row>
    <row r="18" spans="1:4">
      <c r="A18" s="50" t="s">
        <v>1102</v>
      </c>
      <c r="B18" s="51" t="s">
        <v>1103</v>
      </c>
      <c r="C18" s="54" t="s">
        <v>1104</v>
      </c>
      <c r="D18" s="55" t="s">
        <v>1105</v>
      </c>
    </row>
    <row r="19" spans="1:4">
      <c r="A19" s="50" t="s">
        <v>1106</v>
      </c>
      <c r="B19" s="51" t="s">
        <v>1107</v>
      </c>
      <c r="C19" s="54" t="s">
        <v>1108</v>
      </c>
      <c r="D19" s="55" t="s">
        <v>1109</v>
      </c>
    </row>
    <row r="20" spans="1:4">
      <c r="A20" s="50"/>
      <c r="B20" s="51"/>
      <c r="C20" s="54"/>
      <c r="D20" s="55"/>
    </row>
    <row r="21" spans="1:4">
      <c r="A21" s="50" t="s">
        <v>1095</v>
      </c>
      <c r="B21" s="51" t="s">
        <v>1096</v>
      </c>
      <c r="C21" s="54" t="s">
        <v>1158</v>
      </c>
      <c r="D21" s="55" t="s">
        <v>1096</v>
      </c>
    </row>
    <row r="22" spans="1:4">
      <c r="A22" s="50" t="s">
        <v>1097</v>
      </c>
      <c r="B22" s="51" t="s">
        <v>1098</v>
      </c>
      <c r="C22" s="54" t="s">
        <v>1159</v>
      </c>
      <c r="D22" s="55" t="s">
        <v>1098</v>
      </c>
    </row>
    <row r="23" spans="1:4">
      <c r="A23" s="50"/>
      <c r="B23" s="51"/>
      <c r="C23" s="54"/>
      <c r="D23" s="55"/>
    </row>
    <row r="24" spans="1:4">
      <c r="A24" s="50" t="s">
        <v>1131</v>
      </c>
      <c r="B24" s="51" t="s">
        <v>1160</v>
      </c>
      <c r="C24" s="54" t="s">
        <v>1161</v>
      </c>
      <c r="D24" s="137" t="s">
        <v>1166</v>
      </c>
    </row>
    <row r="25" spans="1:4">
      <c r="A25" s="50" t="s">
        <v>1132</v>
      </c>
      <c r="B25" s="51" t="s">
        <v>1163</v>
      </c>
      <c r="C25" s="54" t="s">
        <v>1161</v>
      </c>
      <c r="D25" s="138"/>
    </row>
    <row r="26" spans="1:4">
      <c r="A26" s="50" t="s">
        <v>1133</v>
      </c>
      <c r="B26" s="51" t="s">
        <v>1162</v>
      </c>
      <c r="C26" s="54" t="s">
        <v>1161</v>
      </c>
      <c r="D26" s="138"/>
    </row>
    <row r="27" spans="1:4">
      <c r="A27" s="50" t="s">
        <v>1134</v>
      </c>
      <c r="B27" s="51" t="s">
        <v>1164</v>
      </c>
      <c r="C27" s="54" t="s">
        <v>1165</v>
      </c>
      <c r="D27" s="139"/>
    </row>
    <row r="28" spans="1:4">
      <c r="A28" s="50" t="s">
        <v>1135</v>
      </c>
      <c r="B28" s="58" t="s">
        <v>1137</v>
      </c>
      <c r="C28" s="52" t="s">
        <v>1136</v>
      </c>
      <c r="D28" s="55" t="s">
        <v>1167</v>
      </c>
    </row>
    <row r="29" spans="1:4">
      <c r="A29" s="57"/>
      <c r="B29" s="51"/>
      <c r="C29" s="52"/>
      <c r="D29" s="55"/>
    </row>
    <row r="30" spans="1:4">
      <c r="A30" s="136" t="s">
        <v>1110</v>
      </c>
      <c r="B30" s="136"/>
      <c r="C30" s="136"/>
      <c r="D30" s="136"/>
    </row>
    <row r="31" spans="1:4">
      <c r="A31" s="50" t="s">
        <v>1118</v>
      </c>
      <c r="B31" s="51" t="s">
        <v>1112</v>
      </c>
      <c r="C31" s="51"/>
      <c r="D31" s="51" t="s">
        <v>1113</v>
      </c>
    </row>
    <row r="32" spans="1:4">
      <c r="A32" s="50" t="s">
        <v>1119</v>
      </c>
      <c r="B32" s="51" t="s">
        <v>1114</v>
      </c>
      <c r="C32" s="51" t="s">
        <v>1121</v>
      </c>
      <c r="D32" s="51" t="s">
        <v>1115</v>
      </c>
    </row>
    <row r="33" spans="1:4">
      <c r="A33" s="59" t="s">
        <v>1120</v>
      </c>
      <c r="B33" s="60" t="s">
        <v>1116</v>
      </c>
      <c r="C33" s="60"/>
      <c r="D33" s="60" t="s">
        <v>1117</v>
      </c>
    </row>
    <row r="35" spans="1:4">
      <c r="A35" s="61"/>
    </row>
  </sheetData>
  <mergeCells count="2">
    <mergeCell ref="A30:D30"/>
    <mergeCell ref="D24:D27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BE94-D7E0-4DD8-BA1B-83C392A718DF}">
  <dimension ref="B1:E99"/>
  <sheetViews>
    <sheetView topLeftCell="A62" workbookViewId="0">
      <selection activeCell="F68" sqref="F68"/>
    </sheetView>
  </sheetViews>
  <sheetFormatPr defaultRowHeight="14.25"/>
  <cols>
    <col min="2" max="2" width="15.5" customWidth="1"/>
    <col min="3" max="3" width="31.125" style="46" customWidth="1"/>
    <col min="4" max="4" width="14.5" customWidth="1"/>
  </cols>
  <sheetData>
    <row r="1" spans="2:4" s="41" customFormat="1" ht="18">
      <c r="B1" s="42" t="s">
        <v>953</v>
      </c>
      <c r="C1" s="42" t="s">
        <v>954</v>
      </c>
      <c r="D1" s="42" t="s">
        <v>955</v>
      </c>
    </row>
    <row r="2" spans="2:4" ht="15.75">
      <c r="B2" s="43" t="s">
        <v>907</v>
      </c>
      <c r="C2" s="44" t="s">
        <v>1024</v>
      </c>
      <c r="D2" s="1" t="s">
        <v>1032</v>
      </c>
    </row>
    <row r="3" spans="2:4" ht="15.75">
      <c r="B3" s="43" t="s">
        <v>908</v>
      </c>
      <c r="C3" s="44" t="s">
        <v>945</v>
      </c>
      <c r="D3" s="1" t="s">
        <v>952</v>
      </c>
    </row>
    <row r="4" spans="2:4" ht="15.75">
      <c r="B4" s="43" t="s">
        <v>909</v>
      </c>
      <c r="C4" s="44" t="s">
        <v>946</v>
      </c>
      <c r="D4" s="1" t="s">
        <v>210</v>
      </c>
    </row>
    <row r="5" spans="2:4" ht="15.75">
      <c r="B5" s="43" t="s">
        <v>910</v>
      </c>
      <c r="C5" s="44" t="s">
        <v>948</v>
      </c>
      <c r="D5" s="1" t="s">
        <v>211</v>
      </c>
    </row>
    <row r="6" spans="2:4" ht="15.75">
      <c r="B6" s="43" t="s">
        <v>911</v>
      </c>
      <c r="C6" s="44" t="s">
        <v>947</v>
      </c>
      <c r="D6" s="1" t="s">
        <v>212</v>
      </c>
    </row>
    <row r="7" spans="2:4" ht="15.75">
      <c r="B7" s="43" t="s">
        <v>912</v>
      </c>
      <c r="C7" s="44" t="s">
        <v>949</v>
      </c>
      <c r="D7" s="1" t="s">
        <v>213</v>
      </c>
    </row>
    <row r="8" spans="2:4" ht="15.75">
      <c r="B8" s="43" t="s">
        <v>913</v>
      </c>
      <c r="C8" s="44" t="s">
        <v>950</v>
      </c>
      <c r="D8" s="1" t="s">
        <v>214</v>
      </c>
    </row>
    <row r="9" spans="2:4" ht="15.75">
      <c r="B9" s="43" t="s">
        <v>914</v>
      </c>
      <c r="C9" s="44" t="s">
        <v>951</v>
      </c>
      <c r="D9" s="1" t="s">
        <v>215</v>
      </c>
    </row>
    <row r="10" spans="2:4" ht="15.75">
      <c r="B10" s="43" t="s">
        <v>915</v>
      </c>
      <c r="C10" s="44" t="s">
        <v>98</v>
      </c>
      <c r="D10" s="1"/>
    </row>
    <row r="11" spans="2:4" ht="15.75">
      <c r="B11" s="43" t="s">
        <v>916</v>
      </c>
      <c r="C11" s="44" t="s">
        <v>1030</v>
      </c>
      <c r="D11" s="1" t="s">
        <v>1031</v>
      </c>
    </row>
    <row r="12" spans="2:4" ht="15.75">
      <c r="B12" s="43" t="s">
        <v>917</v>
      </c>
      <c r="C12" s="44" t="s">
        <v>1022</v>
      </c>
      <c r="D12" s="1" t="s">
        <v>1032</v>
      </c>
    </row>
    <row r="13" spans="2:4" ht="15.75">
      <c r="B13" s="43" t="s">
        <v>918</v>
      </c>
      <c r="C13" s="44" t="s">
        <v>956</v>
      </c>
      <c r="D13" s="1" t="s">
        <v>963</v>
      </c>
    </row>
    <row r="14" spans="2:4" ht="15.75">
      <c r="B14" s="43" t="s">
        <v>919</v>
      </c>
      <c r="C14" s="44" t="s">
        <v>957</v>
      </c>
      <c r="D14" s="1" t="s">
        <v>819</v>
      </c>
    </row>
    <row r="15" spans="2:4" ht="15.75">
      <c r="B15" s="43" t="s">
        <v>920</v>
      </c>
      <c r="C15" s="44" t="s">
        <v>958</v>
      </c>
      <c r="D15" s="1" t="s">
        <v>820</v>
      </c>
    </row>
    <row r="16" spans="2:4" ht="15.75">
      <c r="B16" s="43" t="s">
        <v>921</v>
      </c>
      <c r="C16" s="44" t="s">
        <v>959</v>
      </c>
      <c r="D16" s="1" t="s">
        <v>821</v>
      </c>
    </row>
    <row r="17" spans="2:4" ht="15.75">
      <c r="B17" s="43" t="s">
        <v>922</v>
      </c>
      <c r="C17" s="44" t="s">
        <v>960</v>
      </c>
      <c r="D17" s="1" t="s">
        <v>822</v>
      </c>
    </row>
    <row r="18" spans="2:4" ht="15.75">
      <c r="B18" s="43" t="s">
        <v>923</v>
      </c>
      <c r="C18" s="44" t="s">
        <v>961</v>
      </c>
      <c r="D18" s="1" t="s">
        <v>823</v>
      </c>
    </row>
    <row r="19" spans="2:4" ht="15.75">
      <c r="B19" s="43" t="s">
        <v>924</v>
      </c>
      <c r="C19" s="44" t="s">
        <v>962</v>
      </c>
      <c r="D19" s="1" t="s">
        <v>824</v>
      </c>
    </row>
    <row r="20" spans="2:4" ht="15.75">
      <c r="B20" s="43" t="s">
        <v>925</v>
      </c>
      <c r="C20" s="44" t="s">
        <v>1030</v>
      </c>
      <c r="D20" s="1" t="s">
        <v>1031</v>
      </c>
    </row>
    <row r="21" spans="2:4" ht="15.75">
      <c r="B21" s="43" t="s">
        <v>926</v>
      </c>
      <c r="C21" s="44" t="s">
        <v>1023</v>
      </c>
      <c r="D21" s="1" t="s">
        <v>1032</v>
      </c>
    </row>
    <row r="22" spans="2:4" ht="15.75">
      <c r="B22" s="43" t="s">
        <v>927</v>
      </c>
      <c r="C22" s="44" t="s">
        <v>671</v>
      </c>
      <c r="D22" s="1" t="s">
        <v>969</v>
      </c>
    </row>
    <row r="23" spans="2:4" ht="15.75">
      <c r="B23" s="43" t="s">
        <v>928</v>
      </c>
      <c r="C23" s="44" t="s">
        <v>672</v>
      </c>
      <c r="D23" s="1" t="s">
        <v>828</v>
      </c>
    </row>
    <row r="24" spans="2:4" ht="15.75">
      <c r="B24" s="43" t="s">
        <v>929</v>
      </c>
      <c r="C24" s="44" t="s">
        <v>673</v>
      </c>
      <c r="D24" s="1" t="s">
        <v>829</v>
      </c>
    </row>
    <row r="25" spans="2:4" ht="15.75">
      <c r="B25" s="43" t="s">
        <v>930</v>
      </c>
      <c r="C25" s="44" t="s">
        <v>740</v>
      </c>
      <c r="D25" s="1" t="s">
        <v>830</v>
      </c>
    </row>
    <row r="26" spans="2:4" ht="15.75">
      <c r="B26" s="43" t="s">
        <v>931</v>
      </c>
      <c r="C26" s="44" t="s">
        <v>741</v>
      </c>
      <c r="D26" s="1" t="s">
        <v>831</v>
      </c>
    </row>
    <row r="27" spans="2:4" ht="15.75">
      <c r="B27" s="43" t="s">
        <v>932</v>
      </c>
      <c r="C27" s="44" t="s">
        <v>964</v>
      </c>
      <c r="D27" s="1" t="s">
        <v>832</v>
      </c>
    </row>
    <row r="28" spans="2:4" ht="15.75">
      <c r="B28" s="43" t="s">
        <v>933</v>
      </c>
      <c r="C28" s="44" t="s">
        <v>965</v>
      </c>
      <c r="D28" s="1" t="s">
        <v>833</v>
      </c>
    </row>
    <row r="29" spans="2:4" ht="15.75">
      <c r="B29" s="43" t="s">
        <v>934</v>
      </c>
      <c r="C29" s="44" t="s">
        <v>966</v>
      </c>
      <c r="D29" s="1" t="s">
        <v>834</v>
      </c>
    </row>
    <row r="30" spans="2:4" ht="15.75">
      <c r="B30" s="43" t="s">
        <v>935</v>
      </c>
      <c r="C30" s="44" t="s">
        <v>967</v>
      </c>
      <c r="D30" s="1" t="s">
        <v>835</v>
      </c>
    </row>
    <row r="31" spans="2:4" ht="15.75">
      <c r="B31" s="43" t="s">
        <v>936</v>
      </c>
      <c r="C31" s="44" t="s">
        <v>968</v>
      </c>
      <c r="D31" s="1" t="s">
        <v>836</v>
      </c>
    </row>
    <row r="32" spans="2:4" ht="15.75">
      <c r="B32" s="43" t="s">
        <v>937</v>
      </c>
      <c r="C32" s="44" t="s">
        <v>677</v>
      </c>
      <c r="D32" s="1" t="s">
        <v>837</v>
      </c>
    </row>
    <row r="33" spans="2:4" ht="15.75">
      <c r="B33" s="43" t="s">
        <v>938</v>
      </c>
      <c r="C33" s="44" t="s">
        <v>678</v>
      </c>
      <c r="D33" s="1" t="s">
        <v>838</v>
      </c>
    </row>
    <row r="34" spans="2:4" ht="15.75">
      <c r="B34" s="43" t="s">
        <v>939</v>
      </c>
      <c r="C34" s="44" t="s">
        <v>679</v>
      </c>
      <c r="D34" s="1" t="s">
        <v>839</v>
      </c>
    </row>
    <row r="35" spans="2:4" ht="15.75">
      <c r="B35" s="43" t="s">
        <v>940</v>
      </c>
      <c r="C35" s="44" t="s">
        <v>680</v>
      </c>
      <c r="D35" s="1" t="s">
        <v>840</v>
      </c>
    </row>
    <row r="36" spans="2:4" ht="15.75">
      <c r="B36" s="43" t="s">
        <v>941</v>
      </c>
      <c r="C36" s="44" t="s">
        <v>1256</v>
      </c>
      <c r="D36" s="1" t="s">
        <v>841</v>
      </c>
    </row>
    <row r="37" spans="2:4" ht="15.75">
      <c r="B37" s="43" t="s">
        <v>942</v>
      </c>
      <c r="C37" s="44" t="s">
        <v>1030</v>
      </c>
      <c r="D37" s="1" t="s">
        <v>1031</v>
      </c>
    </row>
    <row r="38" spans="2:4" ht="15.75">
      <c r="B38" s="43" t="s">
        <v>943</v>
      </c>
      <c r="C38" s="44" t="s">
        <v>1025</v>
      </c>
      <c r="D38" s="1" t="s">
        <v>1032</v>
      </c>
    </row>
    <row r="39" spans="2:4" ht="15.75">
      <c r="B39" s="43" t="s">
        <v>944</v>
      </c>
      <c r="C39" s="45" t="s">
        <v>747</v>
      </c>
      <c r="D39" s="1"/>
    </row>
    <row r="40" spans="2:4" ht="15.75">
      <c r="B40" s="43" t="s">
        <v>970</v>
      </c>
      <c r="C40" s="45" t="s">
        <v>748</v>
      </c>
      <c r="D40" s="1"/>
    </row>
    <row r="41" spans="2:4" ht="15.75">
      <c r="B41" s="43" t="s">
        <v>971</v>
      </c>
      <c r="C41" s="45" t="s">
        <v>749</v>
      </c>
      <c r="D41" s="1"/>
    </row>
    <row r="42" spans="2:4" ht="15.75">
      <c r="B42" s="43" t="s">
        <v>972</v>
      </c>
      <c r="C42" s="45" t="s">
        <v>750</v>
      </c>
      <c r="D42" s="1"/>
    </row>
    <row r="43" spans="2:4" ht="15.75">
      <c r="B43" s="43" t="s">
        <v>973</v>
      </c>
      <c r="C43" s="45" t="s">
        <v>751</v>
      </c>
      <c r="D43" s="1"/>
    </row>
    <row r="44" spans="2:4" ht="15.75">
      <c r="B44" s="43" t="s">
        <v>974</v>
      </c>
      <c r="C44" s="45" t="s">
        <v>752</v>
      </c>
      <c r="D44" s="1"/>
    </row>
    <row r="45" spans="2:4" ht="15.75">
      <c r="B45" s="43" t="s">
        <v>975</v>
      </c>
      <c r="C45" s="45" t="s">
        <v>753</v>
      </c>
      <c r="D45" s="1"/>
    </row>
    <row r="46" spans="2:4" ht="15.75">
      <c r="B46" s="43" t="s">
        <v>976</v>
      </c>
      <c r="C46" s="45" t="s">
        <v>754</v>
      </c>
      <c r="D46" s="1"/>
    </row>
    <row r="47" spans="2:4" ht="15.75">
      <c r="B47" s="43" t="s">
        <v>977</v>
      </c>
      <c r="C47" s="45" t="s">
        <v>755</v>
      </c>
      <c r="D47" s="1"/>
    </row>
    <row r="48" spans="2:4" ht="15.75">
      <c r="B48" s="43" t="s">
        <v>978</v>
      </c>
      <c r="C48" s="45" t="s">
        <v>756</v>
      </c>
      <c r="D48" s="1"/>
    </row>
    <row r="49" spans="2:4" ht="15.75">
      <c r="B49" s="43" t="s">
        <v>979</v>
      </c>
      <c r="C49" s="44" t="s">
        <v>1030</v>
      </c>
      <c r="D49" s="1" t="s">
        <v>1031</v>
      </c>
    </row>
    <row r="50" spans="2:4" ht="15.75">
      <c r="B50" s="43" t="s">
        <v>980</v>
      </c>
      <c r="C50" s="44" t="s">
        <v>1026</v>
      </c>
      <c r="D50" s="1" t="s">
        <v>1032</v>
      </c>
    </row>
    <row r="51" spans="2:4" ht="15.75">
      <c r="B51" s="43" t="s">
        <v>981</v>
      </c>
      <c r="C51" s="45" t="s">
        <v>757</v>
      </c>
      <c r="D51" s="1"/>
    </row>
    <row r="52" spans="2:4" ht="15.75">
      <c r="B52" s="43" t="s">
        <v>982</v>
      </c>
      <c r="C52" s="45" t="s">
        <v>758</v>
      </c>
      <c r="D52" s="1"/>
    </row>
    <row r="53" spans="2:4" ht="15.75">
      <c r="B53" s="43" t="s">
        <v>983</v>
      </c>
      <c r="C53" s="45" t="s">
        <v>759</v>
      </c>
      <c r="D53" s="1"/>
    </row>
    <row r="54" spans="2:4" ht="15.75">
      <c r="B54" s="43" t="s">
        <v>984</v>
      </c>
      <c r="C54" s="45" t="s">
        <v>760</v>
      </c>
      <c r="D54" s="1"/>
    </row>
    <row r="55" spans="2:4" ht="15.75">
      <c r="B55" s="43" t="s">
        <v>985</v>
      </c>
      <c r="C55" s="45" t="s">
        <v>761</v>
      </c>
      <c r="D55" s="1"/>
    </row>
    <row r="56" spans="2:4" ht="15.75">
      <c r="B56" s="43" t="s">
        <v>986</v>
      </c>
      <c r="C56" s="45" t="s">
        <v>762</v>
      </c>
      <c r="D56" s="1"/>
    </row>
    <row r="57" spans="2:4" ht="15.75">
      <c r="B57" s="43" t="s">
        <v>987</v>
      </c>
      <c r="C57" s="45" t="s">
        <v>763</v>
      </c>
      <c r="D57" s="1"/>
    </row>
    <row r="58" spans="2:4" ht="15.75">
      <c r="B58" s="43" t="s">
        <v>988</v>
      </c>
      <c r="C58" s="45" t="s">
        <v>764</v>
      </c>
      <c r="D58" s="1"/>
    </row>
    <row r="59" spans="2:4" ht="15.75">
      <c r="B59" s="43" t="s">
        <v>989</v>
      </c>
      <c r="C59" s="45" t="s">
        <v>765</v>
      </c>
      <c r="D59" s="1"/>
    </row>
    <row r="60" spans="2:4" ht="15.75">
      <c r="B60" s="43" t="s">
        <v>990</v>
      </c>
      <c r="C60" s="45" t="s">
        <v>766</v>
      </c>
      <c r="D60" s="1"/>
    </row>
    <row r="61" spans="2:4" ht="15.75">
      <c r="B61" s="43" t="s">
        <v>991</v>
      </c>
      <c r="C61" s="44" t="s">
        <v>1030</v>
      </c>
      <c r="D61" s="1"/>
    </row>
    <row r="62" spans="2:4" ht="15.75">
      <c r="B62" s="43" t="s">
        <v>992</v>
      </c>
      <c r="C62" s="44" t="s">
        <v>1027</v>
      </c>
      <c r="D62" s="1"/>
    </row>
    <row r="63" spans="2:4" ht="15.75">
      <c r="B63" s="43" t="s">
        <v>993</v>
      </c>
      <c r="C63" s="44"/>
      <c r="D63" s="1" t="s">
        <v>1021</v>
      </c>
    </row>
    <row r="64" spans="2:4" ht="15.75">
      <c r="B64" s="43" t="s">
        <v>994</v>
      </c>
      <c r="C64" s="44"/>
      <c r="D64" s="1"/>
    </row>
    <row r="65" spans="2:5" ht="15.75">
      <c r="B65" s="43" t="s">
        <v>995</v>
      </c>
      <c r="C65" s="44"/>
      <c r="D65" s="1"/>
    </row>
    <row r="66" spans="2:5" ht="15.75">
      <c r="B66" s="43" t="s">
        <v>996</v>
      </c>
      <c r="C66" s="44"/>
      <c r="D66" s="1"/>
    </row>
    <row r="67" spans="2:5" ht="15.75">
      <c r="B67" s="43" t="s">
        <v>997</v>
      </c>
      <c r="C67" s="44"/>
      <c r="D67" s="1"/>
    </row>
    <row r="68" spans="2:5" ht="15.75">
      <c r="B68" s="43" t="s">
        <v>998</v>
      </c>
      <c r="C68" s="44"/>
      <c r="D68" s="1"/>
    </row>
    <row r="69" spans="2:5" ht="15.75">
      <c r="B69" s="43" t="s">
        <v>999</v>
      </c>
      <c r="C69" s="44"/>
      <c r="D69" s="1"/>
    </row>
    <row r="70" spans="2:5" ht="15.75">
      <c r="B70" s="43" t="s">
        <v>1000</v>
      </c>
      <c r="C70" s="44"/>
      <c r="D70" s="1"/>
    </row>
    <row r="71" spans="2:5" ht="15.75">
      <c r="B71" s="43" t="s">
        <v>1001</v>
      </c>
      <c r="C71" s="44"/>
      <c r="D71" s="1"/>
    </row>
    <row r="72" spans="2:5" ht="15.75">
      <c r="B72" s="43" t="s">
        <v>1002</v>
      </c>
      <c r="C72" s="44">
        <v>9999</v>
      </c>
      <c r="D72" s="1"/>
    </row>
    <row r="73" spans="2:5" ht="15.75">
      <c r="B73" s="43" t="s">
        <v>1003</v>
      </c>
      <c r="C73" s="44" t="s">
        <v>1028</v>
      </c>
      <c r="D73" s="1"/>
    </row>
    <row r="74" spans="2:5" ht="15.75">
      <c r="B74" s="43" t="s">
        <v>1004</v>
      </c>
      <c r="C74" s="44" t="s">
        <v>256</v>
      </c>
      <c r="D74" s="1" t="s">
        <v>1015</v>
      </c>
      <c r="E74" s="140" t="s">
        <v>1020</v>
      </c>
    </row>
    <row r="75" spans="2:5" ht="15.75">
      <c r="B75" s="43" t="s">
        <v>1005</v>
      </c>
      <c r="C75" s="44" t="s">
        <v>539</v>
      </c>
      <c r="D75" s="1" t="s">
        <v>322</v>
      </c>
      <c r="E75" s="140"/>
    </row>
    <row r="76" spans="2:5" ht="15.75">
      <c r="B76" s="43" t="s">
        <v>1006</v>
      </c>
      <c r="C76" s="44" t="s">
        <v>538</v>
      </c>
      <c r="D76" s="1" t="s">
        <v>1016</v>
      </c>
      <c r="E76" s="140"/>
    </row>
    <row r="77" spans="2:5" ht="15.75">
      <c r="B77" s="43" t="s">
        <v>1007</v>
      </c>
      <c r="C77" s="44" t="s">
        <v>278</v>
      </c>
      <c r="D77" s="1" t="s">
        <v>1017</v>
      </c>
      <c r="E77" s="140"/>
    </row>
    <row r="78" spans="2:5" ht="15.75">
      <c r="B78" s="43" t="s">
        <v>1008</v>
      </c>
      <c r="C78" s="44" t="s">
        <v>281</v>
      </c>
      <c r="D78" s="1" t="s">
        <v>529</v>
      </c>
      <c r="E78" s="140"/>
    </row>
    <row r="79" spans="2:5" ht="15.75">
      <c r="B79" s="43" t="s">
        <v>1009</v>
      </c>
      <c r="C79" s="44" t="s">
        <v>282</v>
      </c>
      <c r="D79" s="1" t="s">
        <v>530</v>
      </c>
      <c r="E79" s="140"/>
    </row>
    <row r="80" spans="2:5" ht="15.75">
      <c r="B80" s="43" t="s">
        <v>1010</v>
      </c>
      <c r="C80" s="44" t="s">
        <v>283</v>
      </c>
      <c r="D80" s="1" t="s">
        <v>531</v>
      </c>
      <c r="E80" s="140"/>
    </row>
    <row r="81" spans="2:5" ht="15.75">
      <c r="B81" s="43" t="s">
        <v>1011</v>
      </c>
      <c r="C81" s="44" t="s">
        <v>1018</v>
      </c>
      <c r="D81" s="1" t="s">
        <v>532</v>
      </c>
      <c r="E81" s="140"/>
    </row>
    <row r="82" spans="2:5" ht="15.75">
      <c r="B82" s="43" t="s">
        <v>1012</v>
      </c>
      <c r="C82" s="44" t="s">
        <v>1019</v>
      </c>
      <c r="D82" s="1" t="s">
        <v>1033</v>
      </c>
      <c r="E82" s="140"/>
    </row>
    <row r="83" spans="2:5" ht="15.75">
      <c r="B83" s="43" t="s">
        <v>1013</v>
      </c>
      <c r="C83" s="44" t="s">
        <v>1266</v>
      </c>
      <c r="D83" s="1"/>
      <c r="E83" s="78"/>
    </row>
    <row r="84" spans="2:5" ht="15.75">
      <c r="B84" s="43" t="s">
        <v>1014</v>
      </c>
      <c r="C84" s="44" t="s">
        <v>1267</v>
      </c>
      <c r="D84" s="1"/>
      <c r="E84" s="78"/>
    </row>
    <row r="85" spans="2:5" ht="15.75">
      <c r="B85" s="43" t="s">
        <v>1268</v>
      </c>
      <c r="C85" s="44">
        <v>9999</v>
      </c>
      <c r="D85" s="1"/>
    </row>
    <row r="86" spans="2:5" ht="15.75">
      <c r="B86" s="43" t="s">
        <v>1269</v>
      </c>
      <c r="C86" s="44" t="s">
        <v>1029</v>
      </c>
      <c r="D86" s="1"/>
    </row>
    <row r="87" spans="2:5" ht="15.75">
      <c r="B87" s="43" t="s">
        <v>1270</v>
      </c>
      <c r="C87" s="44"/>
      <c r="D87" s="1"/>
    </row>
    <row r="88" spans="2:5" ht="15.75">
      <c r="B88" s="43" t="s">
        <v>1271</v>
      </c>
      <c r="C88" s="44"/>
      <c r="D88" s="1"/>
    </row>
    <row r="89" spans="2:5">
      <c r="B89" s="1"/>
      <c r="C89" s="44"/>
      <c r="D89" s="1"/>
    </row>
    <row r="90" spans="2:5">
      <c r="B90" s="1"/>
      <c r="C90" s="44"/>
      <c r="D90" s="1"/>
    </row>
    <row r="91" spans="2:5">
      <c r="B91" s="1"/>
      <c r="C91" s="44"/>
      <c r="D91" s="1"/>
    </row>
    <row r="92" spans="2:5">
      <c r="B92" s="1"/>
      <c r="C92" s="44"/>
      <c r="D92" s="1"/>
    </row>
    <row r="93" spans="2:5">
      <c r="B93" s="1"/>
      <c r="C93" s="44"/>
      <c r="D93" s="1"/>
    </row>
    <row r="94" spans="2:5">
      <c r="B94" s="1"/>
      <c r="C94" s="44"/>
      <c r="D94" s="1"/>
    </row>
    <row r="95" spans="2:5">
      <c r="B95" s="1"/>
      <c r="C95" s="44"/>
      <c r="D95" s="1"/>
    </row>
    <row r="96" spans="2:5">
      <c r="B96" s="1"/>
      <c r="C96" s="44"/>
      <c r="D96" s="1"/>
    </row>
    <row r="97" spans="2:4">
      <c r="B97" s="1"/>
      <c r="C97" s="44"/>
      <c r="D97" s="1"/>
    </row>
    <row r="98" spans="2:4">
      <c r="B98" s="1"/>
      <c r="C98" s="44"/>
      <c r="D98" s="1"/>
    </row>
    <row r="99" spans="2:4">
      <c r="B99" s="1"/>
      <c r="C99" s="44"/>
      <c r="D99" s="1"/>
    </row>
  </sheetData>
  <mergeCells count="1">
    <mergeCell ref="E74:E8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8873-49BD-42BA-B827-D91296F58AD6}">
  <dimension ref="B1:E11"/>
  <sheetViews>
    <sheetView workbookViewId="0">
      <selection activeCell="F26" sqref="E26:F26"/>
    </sheetView>
  </sheetViews>
  <sheetFormatPr defaultRowHeight="14.25"/>
  <cols>
    <col min="2" max="4" width="9" style="22"/>
    <col min="5" max="5" width="17.5" style="22" customWidth="1"/>
  </cols>
  <sheetData>
    <row r="1" spans="2:5" s="62" customFormat="1" ht="15.75">
      <c r="B1" s="62" t="s">
        <v>1141</v>
      </c>
      <c r="C1" s="62" t="s">
        <v>1143</v>
      </c>
      <c r="D1" s="62" t="s">
        <v>1144</v>
      </c>
      <c r="E1" s="62" t="s">
        <v>1145</v>
      </c>
    </row>
    <row r="2" spans="2:5">
      <c r="B2" s="22" t="s">
        <v>1142</v>
      </c>
    </row>
    <row r="3" spans="2:5">
      <c r="B3" s="22">
        <v>320</v>
      </c>
      <c r="C3" s="22">
        <v>300</v>
      </c>
      <c r="D3" s="22">
        <v>20</v>
      </c>
      <c r="E3" s="22" t="s">
        <v>1146</v>
      </c>
    </row>
    <row r="4" spans="2:5">
      <c r="C4" s="22">
        <v>308</v>
      </c>
      <c r="D4" s="22">
        <v>-8</v>
      </c>
      <c r="E4" s="22" t="s">
        <v>1151</v>
      </c>
    </row>
    <row r="5" spans="2:5">
      <c r="E5" s="22" t="s">
        <v>1147</v>
      </c>
    </row>
    <row r="6" spans="2:5">
      <c r="B6" s="22">
        <v>300</v>
      </c>
      <c r="C6" s="22">
        <v>280</v>
      </c>
      <c r="D6" s="22">
        <v>20</v>
      </c>
      <c r="E6" s="22" t="s">
        <v>1149</v>
      </c>
    </row>
    <row r="7" spans="2:5">
      <c r="C7" s="22">
        <v>288</v>
      </c>
      <c r="D7" s="22">
        <v>-8</v>
      </c>
      <c r="E7" s="22" t="s">
        <v>1152</v>
      </c>
    </row>
    <row r="8" spans="2:5">
      <c r="B8" s="22">
        <v>280</v>
      </c>
      <c r="C8" s="22">
        <v>240</v>
      </c>
      <c r="D8" s="22">
        <v>40</v>
      </c>
      <c r="E8" s="22" t="s">
        <v>1148</v>
      </c>
    </row>
    <row r="9" spans="2:5">
      <c r="B9" s="22">
        <v>240</v>
      </c>
      <c r="C9" s="22">
        <v>190</v>
      </c>
      <c r="D9" s="22">
        <v>50</v>
      </c>
      <c r="E9" s="22" t="s">
        <v>1150</v>
      </c>
    </row>
    <row r="10" spans="2:5">
      <c r="B10" s="22">
        <v>190</v>
      </c>
      <c r="C10" s="22">
        <v>130</v>
      </c>
      <c r="D10" s="22">
        <v>60</v>
      </c>
      <c r="E10" s="22" t="s">
        <v>1150</v>
      </c>
    </row>
    <row r="11" spans="2:5">
      <c r="B11" s="22">
        <v>130</v>
      </c>
      <c r="C11" s="22">
        <v>80</v>
      </c>
      <c r="D11" s="22">
        <v>50</v>
      </c>
      <c r="E11" s="22" t="s">
        <v>1148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8C47-081E-42F5-9702-5ECB5647DF3D}">
  <dimension ref="A1:M24"/>
  <sheetViews>
    <sheetView zoomScaleNormal="100" workbookViewId="0">
      <selection activeCell="K35" sqref="K35"/>
    </sheetView>
  </sheetViews>
  <sheetFormatPr defaultRowHeight="14.25"/>
  <cols>
    <col min="2" max="13" width="9" style="22"/>
  </cols>
  <sheetData>
    <row r="1" spans="1:10" s="74" customFormat="1">
      <c r="A1" s="75"/>
      <c r="B1" s="75">
        <v>0</v>
      </c>
      <c r="C1" s="75">
        <v>1</v>
      </c>
      <c r="D1" s="75">
        <v>2</v>
      </c>
      <c r="E1" s="75">
        <v>3</v>
      </c>
      <c r="F1" s="75">
        <v>4</v>
      </c>
      <c r="G1" s="75">
        <v>5</v>
      </c>
      <c r="H1" s="75">
        <v>6</v>
      </c>
      <c r="I1" s="75">
        <v>7</v>
      </c>
      <c r="J1" s="75">
        <v>8</v>
      </c>
    </row>
    <row r="2" spans="1:10">
      <c r="A2" s="1" t="s">
        <v>1233</v>
      </c>
      <c r="B2" s="34" t="s">
        <v>1242</v>
      </c>
      <c r="C2" s="34" t="s">
        <v>1243</v>
      </c>
      <c r="D2" s="34" t="s">
        <v>1243</v>
      </c>
      <c r="E2" s="34" t="s">
        <v>1243</v>
      </c>
      <c r="F2" s="34" t="s">
        <v>1243</v>
      </c>
      <c r="G2" s="34" t="s">
        <v>1243</v>
      </c>
      <c r="H2" s="34" t="s">
        <v>1243</v>
      </c>
      <c r="I2" s="34" t="s">
        <v>1243</v>
      </c>
      <c r="J2" s="34" t="s">
        <v>1243</v>
      </c>
    </row>
    <row r="3" spans="1:10">
      <c r="A3" s="1" t="s">
        <v>1234</v>
      </c>
      <c r="B3" s="34" t="s">
        <v>1243</v>
      </c>
      <c r="C3" s="34" t="s">
        <v>1242</v>
      </c>
      <c r="D3" s="34" t="s">
        <v>1242</v>
      </c>
      <c r="E3" s="34" t="s">
        <v>1242</v>
      </c>
      <c r="F3" s="34" t="s">
        <v>1242</v>
      </c>
      <c r="G3" s="34" t="s">
        <v>1242</v>
      </c>
      <c r="H3" s="34" t="s">
        <v>1242</v>
      </c>
      <c r="I3" s="34" t="s">
        <v>1242</v>
      </c>
      <c r="J3" s="34" t="s">
        <v>1242</v>
      </c>
    </row>
    <row r="4" spans="1:10">
      <c r="A4" s="76" t="s">
        <v>1244</v>
      </c>
      <c r="B4" s="77"/>
      <c r="C4" s="77"/>
      <c r="D4" s="77"/>
      <c r="E4" s="77"/>
      <c r="F4" s="77"/>
      <c r="G4" s="77"/>
      <c r="H4" s="77"/>
      <c r="I4" s="77"/>
      <c r="J4" s="77"/>
    </row>
    <row r="5" spans="1:10">
      <c r="A5" s="76" t="s">
        <v>1235</v>
      </c>
      <c r="B5" s="77">
        <v>585</v>
      </c>
      <c r="C5" s="77">
        <v>570</v>
      </c>
      <c r="D5" s="77">
        <v>545</v>
      </c>
      <c r="E5" s="77">
        <v>455</v>
      </c>
      <c r="F5" s="77">
        <v>402</v>
      </c>
      <c r="G5" s="77">
        <v>285</v>
      </c>
      <c r="H5" s="77">
        <v>168</v>
      </c>
      <c r="I5" s="77">
        <v>115</v>
      </c>
      <c r="J5" s="77">
        <v>25</v>
      </c>
    </row>
    <row r="6" spans="1:10">
      <c r="A6" s="1" t="s">
        <v>1236</v>
      </c>
      <c r="B6" s="34">
        <v>8</v>
      </c>
      <c r="C6" s="34">
        <v>0</v>
      </c>
      <c r="D6" s="34">
        <v>1</v>
      </c>
      <c r="E6" s="34">
        <v>2</v>
      </c>
      <c r="F6" s="34">
        <v>3</v>
      </c>
      <c r="G6" s="34">
        <v>4</v>
      </c>
      <c r="H6" s="34">
        <v>5</v>
      </c>
      <c r="I6" s="34">
        <v>6</v>
      </c>
      <c r="J6" s="34">
        <v>7</v>
      </c>
    </row>
    <row r="7" spans="1:10">
      <c r="A7" s="1" t="s">
        <v>1237</v>
      </c>
      <c r="B7" s="34">
        <v>1</v>
      </c>
      <c r="C7" s="34">
        <v>2</v>
      </c>
      <c r="D7" s="34">
        <v>3</v>
      </c>
      <c r="E7" s="34">
        <v>4</v>
      </c>
      <c r="F7" s="34">
        <v>5</v>
      </c>
      <c r="G7" s="34">
        <v>6</v>
      </c>
      <c r="H7" s="34">
        <v>7</v>
      </c>
      <c r="I7" s="34">
        <v>8</v>
      </c>
      <c r="J7" s="34">
        <v>9</v>
      </c>
    </row>
    <row r="8" spans="1:10">
      <c r="A8" s="1" t="s">
        <v>1238</v>
      </c>
      <c r="B8" s="34">
        <v>3.99</v>
      </c>
      <c r="C8" s="34">
        <v>3.0009999999999999</v>
      </c>
      <c r="D8" s="34">
        <v>170</v>
      </c>
      <c r="E8" s="34">
        <v>97</v>
      </c>
      <c r="F8" s="34">
        <v>102</v>
      </c>
      <c r="G8" s="34">
        <v>160</v>
      </c>
      <c r="H8" s="34">
        <v>102</v>
      </c>
      <c r="I8" s="34">
        <v>97</v>
      </c>
      <c r="J8" s="34">
        <v>170</v>
      </c>
    </row>
    <row r="9" spans="1:10">
      <c r="A9" s="1" t="s">
        <v>1239</v>
      </c>
      <c r="B9" s="34">
        <v>99</v>
      </c>
      <c r="C9" s="34">
        <v>0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</row>
    <row r="10" spans="1:10">
      <c r="A10" s="1" t="s">
        <v>1240</v>
      </c>
      <c r="B10" s="34">
        <v>1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</row>
    <row r="11" spans="1:10">
      <c r="A11" s="1" t="s">
        <v>1241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</row>
    <row r="13" spans="1:10">
      <c r="A13" s="1" t="s">
        <v>1233</v>
      </c>
      <c r="B13" s="34" t="s">
        <v>1242</v>
      </c>
      <c r="C13" s="34" t="s">
        <v>1243</v>
      </c>
      <c r="D13" s="34" t="s">
        <v>1243</v>
      </c>
      <c r="E13" s="34" t="s">
        <v>1243</v>
      </c>
      <c r="F13" s="34" t="s">
        <v>1243</v>
      </c>
      <c r="G13" s="34" t="s">
        <v>1243</v>
      </c>
      <c r="H13" s="34" t="s">
        <v>1243</v>
      </c>
      <c r="I13" s="34" t="s">
        <v>1243</v>
      </c>
      <c r="J13" s="34" t="s">
        <v>1243</v>
      </c>
    </row>
    <row r="14" spans="1:10">
      <c r="A14" s="1" t="s">
        <v>1234</v>
      </c>
      <c r="B14" s="34" t="s">
        <v>1243</v>
      </c>
      <c r="C14" s="34" t="s">
        <v>1242</v>
      </c>
      <c r="D14" s="34" t="s">
        <v>1242</v>
      </c>
      <c r="E14" s="34" t="s">
        <v>1242</v>
      </c>
      <c r="F14" s="34" t="s">
        <v>1242</v>
      </c>
      <c r="G14" s="34" t="s">
        <v>1242</v>
      </c>
      <c r="H14" s="34" t="s">
        <v>1242</v>
      </c>
      <c r="I14" s="34" t="s">
        <v>1242</v>
      </c>
      <c r="J14" s="34" t="s">
        <v>1242</v>
      </c>
    </row>
    <row r="15" spans="1:10">
      <c r="A15" s="76" t="s">
        <v>1244</v>
      </c>
      <c r="B15" s="77">
        <v>1</v>
      </c>
      <c r="C15" s="77">
        <v>1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</row>
    <row r="16" spans="1:10">
      <c r="A16" s="76" t="s">
        <v>1235</v>
      </c>
      <c r="B16" s="77">
        <v>585</v>
      </c>
      <c r="C16" s="77">
        <v>560</v>
      </c>
      <c r="D16" s="77">
        <v>545</v>
      </c>
      <c r="E16" s="77">
        <v>520</v>
      </c>
      <c r="F16" s="77">
        <v>430</v>
      </c>
      <c r="G16" s="77">
        <v>377</v>
      </c>
      <c r="H16" s="77">
        <v>260</v>
      </c>
      <c r="I16" s="77">
        <v>143</v>
      </c>
      <c r="J16" s="77">
        <v>90</v>
      </c>
    </row>
    <row r="17" spans="1:11">
      <c r="A17" s="1" t="s">
        <v>1236</v>
      </c>
      <c r="B17" s="34">
        <v>8</v>
      </c>
      <c r="C17" s="34">
        <v>0</v>
      </c>
      <c r="D17" s="34">
        <v>1</v>
      </c>
      <c r="E17" s="34">
        <v>2</v>
      </c>
      <c r="F17" s="34">
        <v>3</v>
      </c>
      <c r="G17" s="34">
        <v>4</v>
      </c>
      <c r="H17" s="34">
        <v>5</v>
      </c>
      <c r="I17" s="34">
        <v>6</v>
      </c>
      <c r="J17" s="34">
        <v>7</v>
      </c>
    </row>
    <row r="18" spans="1:11">
      <c r="A18" s="1" t="s">
        <v>1237</v>
      </c>
      <c r="B18" s="34">
        <v>1</v>
      </c>
      <c r="C18" s="34">
        <v>2</v>
      </c>
      <c r="D18" s="34">
        <v>3</v>
      </c>
      <c r="E18" s="34">
        <v>4</v>
      </c>
      <c r="F18" s="34">
        <v>5</v>
      </c>
      <c r="G18" s="34">
        <v>6</v>
      </c>
      <c r="H18" s="34">
        <v>7</v>
      </c>
      <c r="I18" s="34">
        <v>8</v>
      </c>
      <c r="J18" s="34">
        <v>9</v>
      </c>
    </row>
    <row r="19" spans="1:11">
      <c r="A19" s="1" t="s">
        <v>1238</v>
      </c>
      <c r="B19" s="34">
        <v>3.99</v>
      </c>
      <c r="C19" s="34">
        <v>3.0009999999999999</v>
      </c>
      <c r="D19" s="34">
        <v>170</v>
      </c>
      <c r="E19" s="34">
        <v>97</v>
      </c>
      <c r="F19" s="34">
        <v>102</v>
      </c>
      <c r="G19" s="34">
        <v>160</v>
      </c>
      <c r="H19" s="34">
        <v>102</v>
      </c>
      <c r="I19" s="34">
        <v>97</v>
      </c>
      <c r="J19" s="34">
        <v>170</v>
      </c>
    </row>
    <row r="20" spans="1:11">
      <c r="A20" s="1" t="s">
        <v>1239</v>
      </c>
      <c r="B20" s="34">
        <v>99</v>
      </c>
      <c r="C20" s="34">
        <v>0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</row>
    <row r="21" spans="1:11">
      <c r="A21" s="1" t="s">
        <v>1240</v>
      </c>
      <c r="B21" s="34">
        <v>1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</row>
    <row r="22" spans="1:11">
      <c r="A22" s="1" t="s">
        <v>1241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</row>
    <row r="23" spans="1:11">
      <c r="A23" s="40" t="s">
        <v>1245</v>
      </c>
      <c r="B23" s="22" t="s">
        <v>1246</v>
      </c>
      <c r="C23" s="22" t="s">
        <v>1247</v>
      </c>
      <c r="D23" s="22" t="s">
        <v>1248</v>
      </c>
      <c r="E23" s="22" t="s">
        <v>1249</v>
      </c>
      <c r="F23" s="22" t="s">
        <v>1250</v>
      </c>
      <c r="G23" s="22" t="s">
        <v>1251</v>
      </c>
      <c r="H23" s="22" t="s">
        <v>1252</v>
      </c>
      <c r="I23" s="22" t="s">
        <v>1253</v>
      </c>
      <c r="J23" s="22" t="s">
        <v>1254</v>
      </c>
      <c r="K23" s="22" t="s">
        <v>1255</v>
      </c>
    </row>
    <row r="24" spans="1:11">
      <c r="B24" s="22">
        <v>15</v>
      </c>
      <c r="C24" s="22">
        <v>25</v>
      </c>
      <c r="D24" s="22">
        <v>15</v>
      </c>
      <c r="E24" s="22">
        <f>535-510</f>
        <v>25</v>
      </c>
      <c r="F24" s="22">
        <f>510-420</f>
        <v>90</v>
      </c>
      <c r="G24" s="22">
        <f>420-367</f>
        <v>53</v>
      </c>
      <c r="H24" s="22">
        <f>367-250</f>
        <v>117</v>
      </c>
      <c r="I24" s="22">
        <f>250-133</f>
        <v>117</v>
      </c>
      <c r="J24" s="22">
        <f>133-80</f>
        <v>53</v>
      </c>
      <c r="K24" s="22">
        <v>90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83BE-5C7C-4CDC-A917-A2D5CF60F75C}">
  <dimension ref="A1:E38"/>
  <sheetViews>
    <sheetView workbookViewId="0">
      <selection activeCell="B13" sqref="B13"/>
    </sheetView>
  </sheetViews>
  <sheetFormatPr defaultRowHeight="14.25"/>
  <cols>
    <col min="1" max="1" width="44.75" style="118" bestFit="1" customWidth="1"/>
    <col min="2" max="2" width="57.75" style="118" customWidth="1"/>
    <col min="3" max="3" width="15.125" style="119" bestFit="1" customWidth="1"/>
    <col min="4" max="4" width="29.5" style="118" bestFit="1" customWidth="1"/>
    <col min="5" max="5" width="63" style="118" bestFit="1" customWidth="1"/>
    <col min="6" max="16384" width="9" style="118"/>
  </cols>
  <sheetData>
    <row r="1" spans="1:5">
      <c r="A1" s="118" t="s">
        <v>1569</v>
      </c>
    </row>
    <row r="2" spans="1:5">
      <c r="A2" s="118" t="s">
        <v>1567</v>
      </c>
    </row>
    <row r="3" spans="1:5">
      <c r="A3" s="118" t="s">
        <v>1568</v>
      </c>
    </row>
    <row r="4" spans="1:5" ht="16.5">
      <c r="A4" s="141" t="s">
        <v>1595</v>
      </c>
      <c r="B4" s="141"/>
      <c r="C4" s="141"/>
      <c r="D4" s="141"/>
      <c r="E4" s="141"/>
    </row>
    <row r="5" spans="1:5">
      <c r="A5" s="120" t="s">
        <v>1565</v>
      </c>
      <c r="B5" s="120"/>
      <c r="C5" s="120"/>
      <c r="D5" s="120"/>
      <c r="E5" s="120"/>
    </row>
    <row r="6" spans="1:5">
      <c r="A6" s="120" t="s">
        <v>1584</v>
      </c>
      <c r="B6" s="120" t="s">
        <v>1585</v>
      </c>
      <c r="C6" s="120" t="s">
        <v>1586</v>
      </c>
      <c r="D6" s="120" t="s">
        <v>1587</v>
      </c>
      <c r="E6" s="120" t="s">
        <v>1588</v>
      </c>
    </row>
    <row r="7" spans="1:5">
      <c r="A7" s="120" t="s">
        <v>1579</v>
      </c>
      <c r="B7" s="120"/>
      <c r="C7" s="120"/>
      <c r="D7" s="120"/>
      <c r="E7" s="120"/>
    </row>
    <row r="8" spans="1:5">
      <c r="A8" s="120" t="s">
        <v>1573</v>
      </c>
      <c r="B8" s="120" t="s">
        <v>1589</v>
      </c>
      <c r="C8" s="120" t="s">
        <v>1590</v>
      </c>
      <c r="D8" s="120" t="s">
        <v>1571</v>
      </c>
      <c r="E8" s="120"/>
    </row>
    <row r="9" spans="1:5" ht="17.25">
      <c r="A9" s="120" t="s">
        <v>1593</v>
      </c>
      <c r="B9" s="123" t="s">
        <v>1566</v>
      </c>
      <c r="C9" s="120" t="s">
        <v>1607</v>
      </c>
      <c r="D9" s="120" t="s">
        <v>1572</v>
      </c>
      <c r="E9" s="120" t="s">
        <v>1576</v>
      </c>
    </row>
    <row r="10" spans="1:5" ht="17.25">
      <c r="A10" s="120" t="s">
        <v>1592</v>
      </c>
      <c r="B10" s="120" t="s">
        <v>1605</v>
      </c>
      <c r="C10" s="120" t="s">
        <v>1606</v>
      </c>
      <c r="D10" s="120" t="s">
        <v>1570</v>
      </c>
      <c r="E10" s="120" t="s">
        <v>1577</v>
      </c>
    </row>
    <row r="11" spans="1:5" ht="17.25">
      <c r="A11" s="120" t="s">
        <v>1594</v>
      </c>
      <c r="B11" s="120" t="s">
        <v>1574</v>
      </c>
      <c r="C11" s="120" t="s">
        <v>1575</v>
      </c>
      <c r="D11" s="120" t="s">
        <v>1591</v>
      </c>
      <c r="E11" s="120" t="s">
        <v>1578</v>
      </c>
    </row>
    <row r="12" spans="1:5">
      <c r="A12" s="120" t="s">
        <v>1580</v>
      </c>
      <c r="B12" s="120"/>
      <c r="C12" s="120"/>
      <c r="D12" s="120"/>
      <c r="E12" s="120"/>
    </row>
    <row r="13" spans="1:5">
      <c r="A13" s="120" t="s">
        <v>1583</v>
      </c>
      <c r="B13" s="120" t="s">
        <v>1582</v>
      </c>
      <c r="C13" s="120" t="s">
        <v>1581</v>
      </c>
      <c r="D13" s="120" t="s">
        <v>1571</v>
      </c>
      <c r="E13" s="120"/>
    </row>
    <row r="20" spans="2:2" ht="104.25">
      <c r="B20" s="117" t="s">
        <v>1596</v>
      </c>
    </row>
    <row r="23" spans="2:2" ht="17.25">
      <c r="B23" s="114" t="s">
        <v>1597</v>
      </c>
    </row>
    <row r="24" spans="2:2">
      <c r="B24" s="122"/>
    </row>
    <row r="25" spans="2:2" ht="17.25">
      <c r="B25" s="115" t="s">
        <v>1598</v>
      </c>
    </row>
    <row r="26" spans="2:2" ht="17.25">
      <c r="B26" s="116"/>
    </row>
    <row r="27" spans="2:2" ht="18">
      <c r="B27" s="117" t="s">
        <v>1600</v>
      </c>
    </row>
    <row r="28" spans="2:2" ht="18">
      <c r="B28" s="117" t="s">
        <v>1601</v>
      </c>
    </row>
    <row r="29" spans="2:2" ht="17.25">
      <c r="B29" s="115" t="s">
        <v>1599</v>
      </c>
    </row>
    <row r="30" spans="2:2" ht="17.25">
      <c r="B30" s="116"/>
    </row>
    <row r="31" spans="2:2" ht="104.25">
      <c r="B31" s="117" t="s">
        <v>1602</v>
      </c>
    </row>
    <row r="32" spans="2:2" ht="104.25">
      <c r="B32" s="117" t="s">
        <v>1603</v>
      </c>
    </row>
    <row r="33" spans="2:2" ht="104.25">
      <c r="B33" s="117" t="s">
        <v>1604</v>
      </c>
    </row>
    <row r="38" spans="2:2" ht="17.25">
      <c r="B38" s="121"/>
    </row>
  </sheetData>
  <mergeCells count="1">
    <mergeCell ref="A4:E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987E-1A0B-4BD7-8C58-F2C076C8F57F}">
  <dimension ref="A1:H123"/>
  <sheetViews>
    <sheetView topLeftCell="A89" workbookViewId="0">
      <selection activeCell="B117" sqref="B117"/>
    </sheetView>
  </sheetViews>
  <sheetFormatPr defaultRowHeight="14.25"/>
  <cols>
    <col min="1" max="1" width="16.625" bestFit="1" customWidth="1"/>
    <col min="2" max="2" width="25.125" bestFit="1" customWidth="1"/>
    <col min="3" max="5" width="7.375" bestFit="1" customWidth="1"/>
    <col min="6" max="6" width="17.875" bestFit="1" customWidth="1"/>
    <col min="7" max="7" width="24.125" bestFit="1" customWidth="1"/>
    <col min="8" max="8" width="26.25" bestFit="1" customWidth="1"/>
    <col min="9" max="9" width="16.5" bestFit="1" customWidth="1"/>
  </cols>
  <sheetData>
    <row r="1" spans="1:8">
      <c r="A1" t="s">
        <v>1378</v>
      </c>
    </row>
    <row r="2" spans="1:8">
      <c r="B2" t="s">
        <v>1379</v>
      </c>
      <c r="E2" t="s">
        <v>1362</v>
      </c>
      <c r="G2" t="s">
        <v>1363</v>
      </c>
      <c r="H2" t="s">
        <v>1451</v>
      </c>
    </row>
    <row r="3" spans="1:8">
      <c r="B3" t="s">
        <v>1380</v>
      </c>
      <c r="E3" t="s">
        <v>1362</v>
      </c>
      <c r="G3" t="s">
        <v>1363</v>
      </c>
      <c r="H3" t="s">
        <v>1452</v>
      </c>
    </row>
    <row r="4" spans="1:8">
      <c r="B4" t="s">
        <v>1381</v>
      </c>
      <c r="E4" t="s">
        <v>1362</v>
      </c>
      <c r="G4" t="s">
        <v>1363</v>
      </c>
      <c r="H4" t="s">
        <v>1453</v>
      </c>
    </row>
    <row r="5" spans="1:8">
      <c r="B5" t="s">
        <v>1382</v>
      </c>
      <c r="E5" t="s">
        <v>1362</v>
      </c>
      <c r="G5" t="s">
        <v>1363</v>
      </c>
      <c r="H5" t="s">
        <v>1454</v>
      </c>
    </row>
    <row r="6" spans="1:8">
      <c r="B6" t="s">
        <v>1383</v>
      </c>
      <c r="E6" t="s">
        <v>1362</v>
      </c>
      <c r="G6" t="s">
        <v>1363</v>
      </c>
      <c r="H6" t="s">
        <v>1455</v>
      </c>
    </row>
    <row r="7" spans="1:8">
      <c r="B7" t="s">
        <v>1384</v>
      </c>
      <c r="E7" t="s">
        <v>1362</v>
      </c>
      <c r="G7" t="s">
        <v>1363</v>
      </c>
      <c r="H7" t="s">
        <v>1456</v>
      </c>
    </row>
    <row r="8" spans="1:8">
      <c r="B8" t="s">
        <v>1385</v>
      </c>
      <c r="E8" t="s">
        <v>1362</v>
      </c>
      <c r="G8" t="s">
        <v>1363</v>
      </c>
      <c r="H8" t="s">
        <v>1386</v>
      </c>
    </row>
    <row r="9" spans="1:8">
      <c r="B9" t="s">
        <v>1387</v>
      </c>
      <c r="E9" t="s">
        <v>1362</v>
      </c>
      <c r="G9" t="s">
        <v>1363</v>
      </c>
      <c r="H9" t="s">
        <v>1388</v>
      </c>
    </row>
    <row r="10" spans="1:8">
      <c r="A10" t="s">
        <v>1389</v>
      </c>
    </row>
    <row r="11" spans="1:8">
      <c r="B11" t="s">
        <v>1390</v>
      </c>
      <c r="E11" t="s">
        <v>1362</v>
      </c>
      <c r="G11" t="s">
        <v>1363</v>
      </c>
    </row>
    <row r="12" spans="1:8">
      <c r="B12" t="s">
        <v>1391</v>
      </c>
      <c r="E12" t="s">
        <v>1362</v>
      </c>
      <c r="G12" t="s">
        <v>1363</v>
      </c>
    </row>
    <row r="13" spans="1:8">
      <c r="B13" t="s">
        <v>1392</v>
      </c>
      <c r="E13" t="s">
        <v>1362</v>
      </c>
      <c r="G13" t="s">
        <v>1363</v>
      </c>
    </row>
    <row r="14" spans="1:8">
      <c r="B14" t="s">
        <v>1393</v>
      </c>
      <c r="E14" t="s">
        <v>1362</v>
      </c>
      <c r="G14" t="s">
        <v>1363</v>
      </c>
    </row>
    <row r="15" spans="1:8">
      <c r="B15" t="s">
        <v>1394</v>
      </c>
      <c r="E15" t="s">
        <v>1362</v>
      </c>
      <c r="G15" t="s">
        <v>1363</v>
      </c>
    </row>
    <row r="16" spans="1:8">
      <c r="B16" t="s">
        <v>1395</v>
      </c>
      <c r="E16" t="s">
        <v>1362</v>
      </c>
      <c r="G16" t="s">
        <v>1363</v>
      </c>
    </row>
    <row r="17" spans="1:8">
      <c r="B17" t="s">
        <v>1396</v>
      </c>
      <c r="E17" t="s">
        <v>1362</v>
      </c>
      <c r="G17" t="s">
        <v>1363</v>
      </c>
    </row>
    <row r="18" spans="1:8">
      <c r="B18" t="s">
        <v>1397</v>
      </c>
      <c r="E18" t="s">
        <v>1362</v>
      </c>
      <c r="G18" t="s">
        <v>1363</v>
      </c>
    </row>
    <row r="19" spans="1:8">
      <c r="A19" t="s">
        <v>1398</v>
      </c>
    </row>
    <row r="20" spans="1:8">
      <c r="B20" t="s">
        <v>1674</v>
      </c>
      <c r="E20" t="s">
        <v>1362</v>
      </c>
      <c r="G20" t="s">
        <v>1363</v>
      </c>
      <c r="H20" t="s">
        <v>1370</v>
      </c>
    </row>
    <row r="21" spans="1:8">
      <c r="B21" t="s">
        <v>1364</v>
      </c>
      <c r="E21" t="s">
        <v>1362</v>
      </c>
      <c r="G21" t="s">
        <v>1363</v>
      </c>
      <c r="H21" t="s">
        <v>1371</v>
      </c>
    </row>
    <row r="22" spans="1:8">
      <c r="B22" t="s">
        <v>1365</v>
      </c>
      <c r="E22" t="s">
        <v>1362</v>
      </c>
      <c r="G22" t="s">
        <v>1363</v>
      </c>
      <c r="H22" t="s">
        <v>1373</v>
      </c>
    </row>
    <row r="23" spans="1:8">
      <c r="B23" t="s">
        <v>1366</v>
      </c>
      <c r="E23" t="s">
        <v>1362</v>
      </c>
      <c r="G23" t="s">
        <v>1363</v>
      </c>
      <c r="H23" t="s">
        <v>1372</v>
      </c>
    </row>
    <row r="24" spans="1:8">
      <c r="B24" t="s">
        <v>1367</v>
      </c>
      <c r="E24" t="s">
        <v>1362</v>
      </c>
      <c r="G24" t="s">
        <v>1363</v>
      </c>
      <c r="H24" t="s">
        <v>1374</v>
      </c>
    </row>
    <row r="25" spans="1:8">
      <c r="B25" t="s">
        <v>1368</v>
      </c>
      <c r="E25" t="s">
        <v>1362</v>
      </c>
      <c r="G25" t="s">
        <v>1363</v>
      </c>
      <c r="H25" t="s">
        <v>1375</v>
      </c>
    </row>
    <row r="26" spans="1:8">
      <c r="B26" t="s">
        <v>1609</v>
      </c>
      <c r="E26" t="s">
        <v>1362</v>
      </c>
      <c r="G26" t="s">
        <v>1363</v>
      </c>
      <c r="H26" t="s">
        <v>1376</v>
      </c>
    </row>
    <row r="27" spans="1:8">
      <c r="B27" t="s">
        <v>1369</v>
      </c>
      <c r="E27" t="s">
        <v>1362</v>
      </c>
      <c r="G27" t="s">
        <v>1363</v>
      </c>
      <c r="H27" t="s">
        <v>1377</v>
      </c>
    </row>
    <row r="28" spans="1:8">
      <c r="A28" t="s">
        <v>1399</v>
      </c>
    </row>
    <row r="29" spans="1:8">
      <c r="B29" t="s">
        <v>1562</v>
      </c>
      <c r="E29" t="s">
        <v>1362</v>
      </c>
      <c r="G29" t="s">
        <v>1363</v>
      </c>
      <c r="H29" t="s">
        <v>1445</v>
      </c>
    </row>
    <row r="30" spans="1:8">
      <c r="B30" t="s">
        <v>1460</v>
      </c>
      <c r="E30" t="s">
        <v>1362</v>
      </c>
      <c r="G30" t="s">
        <v>1363</v>
      </c>
      <c r="H30" t="s">
        <v>1446</v>
      </c>
    </row>
    <row r="31" spans="1:8">
      <c r="B31" t="s">
        <v>1400</v>
      </c>
      <c r="E31" t="s">
        <v>1362</v>
      </c>
      <c r="G31" t="s">
        <v>1363</v>
      </c>
      <c r="H31" t="s">
        <v>1447</v>
      </c>
    </row>
    <row r="32" spans="1:8">
      <c r="B32" t="s">
        <v>1401</v>
      </c>
      <c r="E32" t="s">
        <v>1362</v>
      </c>
      <c r="G32" t="s">
        <v>1363</v>
      </c>
      <c r="H32" t="s">
        <v>1448</v>
      </c>
    </row>
    <row r="33" spans="1:8">
      <c r="B33" t="s">
        <v>1461</v>
      </c>
      <c r="E33" t="s">
        <v>1362</v>
      </c>
      <c r="G33" t="s">
        <v>1363</v>
      </c>
      <c r="H33" t="s">
        <v>1462</v>
      </c>
    </row>
    <row r="34" spans="1:8">
      <c r="B34" t="s">
        <v>1608</v>
      </c>
      <c r="E34" t="s">
        <v>1362</v>
      </c>
      <c r="G34" t="s">
        <v>1363</v>
      </c>
      <c r="H34" t="s">
        <v>1449</v>
      </c>
    </row>
    <row r="35" spans="1:8">
      <c r="B35" t="s">
        <v>1531</v>
      </c>
      <c r="E35" t="s">
        <v>1362</v>
      </c>
      <c r="G35" t="s">
        <v>1363</v>
      </c>
      <c r="H35" t="s">
        <v>1459</v>
      </c>
    </row>
    <row r="36" spans="1:8">
      <c r="B36" t="s">
        <v>1532</v>
      </c>
      <c r="E36" t="s">
        <v>1362</v>
      </c>
      <c r="G36" t="s">
        <v>1363</v>
      </c>
      <c r="H36" t="s">
        <v>1450</v>
      </c>
    </row>
    <row r="37" spans="1:8">
      <c r="A37" t="s">
        <v>1402</v>
      </c>
    </row>
    <row r="38" spans="1:8">
      <c r="B38" t="s">
        <v>1403</v>
      </c>
      <c r="E38" t="s">
        <v>1362</v>
      </c>
      <c r="G38" t="s">
        <v>1363</v>
      </c>
    </row>
    <row r="39" spans="1:8">
      <c r="B39" t="s">
        <v>1404</v>
      </c>
      <c r="E39" t="s">
        <v>1362</v>
      </c>
      <c r="G39" t="s">
        <v>1363</v>
      </c>
    </row>
    <row r="40" spans="1:8">
      <c r="B40" t="s">
        <v>1405</v>
      </c>
      <c r="E40" t="s">
        <v>1362</v>
      </c>
      <c r="G40" t="s">
        <v>1363</v>
      </c>
    </row>
    <row r="41" spans="1:8">
      <c r="B41" t="s">
        <v>1406</v>
      </c>
      <c r="E41" t="s">
        <v>1362</v>
      </c>
      <c r="G41" t="s">
        <v>1363</v>
      </c>
    </row>
    <row r="42" spans="1:8">
      <c r="B42" t="s">
        <v>1407</v>
      </c>
      <c r="E42" t="s">
        <v>1362</v>
      </c>
      <c r="G42" t="s">
        <v>1363</v>
      </c>
    </row>
    <row r="43" spans="1:8">
      <c r="B43" t="s">
        <v>1408</v>
      </c>
      <c r="E43" t="s">
        <v>1362</v>
      </c>
      <c r="G43" t="s">
        <v>1363</v>
      </c>
    </row>
    <row r="44" spans="1:8">
      <c r="B44" t="s">
        <v>1409</v>
      </c>
      <c r="E44" t="s">
        <v>1362</v>
      </c>
      <c r="G44" t="s">
        <v>1363</v>
      </c>
    </row>
    <row r="45" spans="1:8">
      <c r="B45" t="s">
        <v>1410</v>
      </c>
      <c r="E45" t="s">
        <v>1362</v>
      </c>
      <c r="G45" t="s">
        <v>1363</v>
      </c>
    </row>
    <row r="46" spans="1:8">
      <c r="A46" t="s">
        <v>1411</v>
      </c>
    </row>
    <row r="47" spans="1:8">
      <c r="B47" t="s">
        <v>1412</v>
      </c>
      <c r="E47" t="s">
        <v>1362</v>
      </c>
      <c r="G47" t="s">
        <v>1363</v>
      </c>
      <c r="H47" t="s">
        <v>1429</v>
      </c>
    </row>
    <row r="48" spans="1:8">
      <c r="B48" t="s">
        <v>1413</v>
      </c>
      <c r="E48" t="s">
        <v>1362</v>
      </c>
      <c r="G48" t="s">
        <v>1363</v>
      </c>
      <c r="H48" t="s">
        <v>1430</v>
      </c>
    </row>
    <row r="49" spans="1:8">
      <c r="B49" t="s">
        <v>1414</v>
      </c>
      <c r="E49" t="s">
        <v>1362</v>
      </c>
      <c r="G49" t="s">
        <v>1363</v>
      </c>
      <c r="H49" t="s">
        <v>1431</v>
      </c>
    </row>
    <row r="50" spans="1:8">
      <c r="B50" t="s">
        <v>1415</v>
      </c>
      <c r="E50" t="s">
        <v>1362</v>
      </c>
      <c r="G50" t="s">
        <v>1363</v>
      </c>
      <c r="H50" t="s">
        <v>1432</v>
      </c>
    </row>
    <row r="51" spans="1:8">
      <c r="B51" t="s">
        <v>1416</v>
      </c>
      <c r="E51" t="s">
        <v>1362</v>
      </c>
      <c r="G51" t="s">
        <v>1363</v>
      </c>
      <c r="H51" t="s">
        <v>1433</v>
      </c>
    </row>
    <row r="52" spans="1:8">
      <c r="B52" t="s">
        <v>1417</v>
      </c>
      <c r="E52" t="s">
        <v>1362</v>
      </c>
      <c r="G52" t="s">
        <v>1363</v>
      </c>
      <c r="H52" t="s">
        <v>1434</v>
      </c>
    </row>
    <row r="53" spans="1:8">
      <c r="B53" t="s">
        <v>1418</v>
      </c>
      <c r="E53" t="s">
        <v>1362</v>
      </c>
      <c r="G53" t="s">
        <v>1363</v>
      </c>
      <c r="H53" t="s">
        <v>1435</v>
      </c>
    </row>
    <row r="54" spans="1:8">
      <c r="B54" t="s">
        <v>1419</v>
      </c>
      <c r="E54" t="s">
        <v>1362</v>
      </c>
      <c r="G54" t="s">
        <v>1363</v>
      </c>
      <c r="H54" t="s">
        <v>1436</v>
      </c>
    </row>
    <row r="55" spans="1:8">
      <c r="A55" t="s">
        <v>1420</v>
      </c>
    </row>
    <row r="56" spans="1:8">
      <c r="B56" t="s">
        <v>1421</v>
      </c>
      <c r="E56" t="s">
        <v>1362</v>
      </c>
      <c r="G56" t="s">
        <v>1363</v>
      </c>
      <c r="H56" t="s">
        <v>1437</v>
      </c>
    </row>
    <row r="57" spans="1:8">
      <c r="B57" t="s">
        <v>1422</v>
      </c>
      <c r="E57" t="s">
        <v>1362</v>
      </c>
      <c r="G57" t="s">
        <v>1363</v>
      </c>
      <c r="H57" t="s">
        <v>1438</v>
      </c>
    </row>
    <row r="58" spans="1:8">
      <c r="B58" t="s">
        <v>1423</v>
      </c>
      <c r="E58" t="s">
        <v>1362</v>
      </c>
      <c r="G58" t="s">
        <v>1363</v>
      </c>
      <c r="H58" t="s">
        <v>1439</v>
      </c>
    </row>
    <row r="59" spans="1:8">
      <c r="B59" t="s">
        <v>1424</v>
      </c>
      <c r="E59" t="s">
        <v>1362</v>
      </c>
      <c r="G59" t="s">
        <v>1363</v>
      </c>
      <c r="H59" t="s">
        <v>1440</v>
      </c>
    </row>
    <row r="60" spans="1:8">
      <c r="B60" t="s">
        <v>1425</v>
      </c>
      <c r="E60" t="s">
        <v>1362</v>
      </c>
      <c r="G60" t="s">
        <v>1363</v>
      </c>
      <c r="H60" t="s">
        <v>1441</v>
      </c>
    </row>
    <row r="61" spans="1:8">
      <c r="B61" t="s">
        <v>1426</v>
      </c>
      <c r="E61" t="s">
        <v>1362</v>
      </c>
      <c r="G61" t="s">
        <v>1363</v>
      </c>
      <c r="H61" t="s">
        <v>1442</v>
      </c>
    </row>
    <row r="62" spans="1:8">
      <c r="B62" t="s">
        <v>1427</v>
      </c>
      <c r="E62" t="s">
        <v>1362</v>
      </c>
      <c r="G62" t="s">
        <v>1363</v>
      </c>
      <c r="H62" t="s">
        <v>1443</v>
      </c>
    </row>
    <row r="63" spans="1:8">
      <c r="B63" t="s">
        <v>1428</v>
      </c>
      <c r="E63" t="s">
        <v>1362</v>
      </c>
      <c r="G63" t="s">
        <v>1363</v>
      </c>
      <c r="H63" t="s">
        <v>1444</v>
      </c>
    </row>
    <row r="67" spans="1:8">
      <c r="B67" t="s">
        <v>1457</v>
      </c>
      <c r="C67" t="s">
        <v>1458</v>
      </c>
      <c r="E67" t="s">
        <v>1363</v>
      </c>
    </row>
    <row r="70" spans="1:8">
      <c r="A70" t="s">
        <v>1463</v>
      </c>
    </row>
    <row r="71" spans="1:8">
      <c r="B71" t="s">
        <v>1457</v>
      </c>
      <c r="C71" t="s">
        <v>1458</v>
      </c>
      <c r="E71" t="s">
        <v>1363</v>
      </c>
      <c r="F71" t="s">
        <v>1487</v>
      </c>
    </row>
    <row r="72" spans="1:8">
      <c r="B72" t="s">
        <v>1464</v>
      </c>
      <c r="C72" t="s">
        <v>1458</v>
      </c>
      <c r="E72" t="s">
        <v>1363</v>
      </c>
      <c r="F72" t="s">
        <v>1488</v>
      </c>
    </row>
    <row r="73" spans="1:8">
      <c r="B73" t="s">
        <v>1465</v>
      </c>
      <c r="C73" t="s">
        <v>1458</v>
      </c>
      <c r="E73" t="s">
        <v>1363</v>
      </c>
      <c r="F73" t="s">
        <v>1489</v>
      </c>
    </row>
    <row r="74" spans="1:8">
      <c r="B74" t="s">
        <v>1466</v>
      </c>
      <c r="C74" t="s">
        <v>1458</v>
      </c>
      <c r="E74" t="s">
        <v>1363</v>
      </c>
      <c r="F74" t="s">
        <v>1490</v>
      </c>
    </row>
    <row r="75" spans="1:8">
      <c r="B75" t="s">
        <v>1467</v>
      </c>
      <c r="C75" t="s">
        <v>1458</v>
      </c>
      <c r="E75" t="s">
        <v>1363</v>
      </c>
      <c r="F75" t="s">
        <v>1491</v>
      </c>
    </row>
    <row r="76" spans="1:8">
      <c r="B76" t="s">
        <v>1468</v>
      </c>
      <c r="C76" t="s">
        <v>1458</v>
      </c>
      <c r="E76" t="s">
        <v>1363</v>
      </c>
      <c r="F76" t="s">
        <v>1492</v>
      </c>
    </row>
    <row r="77" spans="1:8">
      <c r="B77" t="s">
        <v>1469</v>
      </c>
      <c r="C77" t="s">
        <v>1458</v>
      </c>
      <c r="E77" t="s">
        <v>1363</v>
      </c>
      <c r="F77" t="s">
        <v>1493</v>
      </c>
    </row>
    <row r="78" spans="1:8">
      <c r="B78" t="s">
        <v>1470</v>
      </c>
      <c r="C78" t="s">
        <v>1458</v>
      </c>
      <c r="E78" t="s">
        <v>1363</v>
      </c>
      <c r="F78" t="s">
        <v>1494</v>
      </c>
    </row>
    <row r="79" spans="1:8">
      <c r="A79" t="s">
        <v>1471</v>
      </c>
    </row>
    <row r="80" spans="1:8">
      <c r="B80" t="s">
        <v>1472</v>
      </c>
      <c r="F80" t="s">
        <v>1458</v>
      </c>
      <c r="G80" t="s">
        <v>1363</v>
      </c>
      <c r="H80" t="s">
        <v>1495</v>
      </c>
    </row>
    <row r="81" spans="1:8">
      <c r="B81" t="s">
        <v>1473</v>
      </c>
      <c r="E81" t="s">
        <v>1458</v>
      </c>
      <c r="G81" t="s">
        <v>1363</v>
      </c>
      <c r="H81" t="s">
        <v>1496</v>
      </c>
    </row>
    <row r="82" spans="1:8">
      <c r="B82" t="s">
        <v>1533</v>
      </c>
      <c r="E82" t="s">
        <v>1458</v>
      </c>
      <c r="G82" t="s">
        <v>1363</v>
      </c>
      <c r="H82" t="s">
        <v>1497</v>
      </c>
    </row>
    <row r="83" spans="1:8">
      <c r="B83" t="s">
        <v>1534</v>
      </c>
      <c r="E83" t="s">
        <v>1458</v>
      </c>
      <c r="G83" t="s">
        <v>1363</v>
      </c>
      <c r="H83" t="s">
        <v>1497</v>
      </c>
    </row>
    <row r="84" spans="1:8">
      <c r="B84" t="s">
        <v>1474</v>
      </c>
      <c r="D84" t="s">
        <v>1458</v>
      </c>
      <c r="F84" t="s">
        <v>1363</v>
      </c>
      <c r="G84" t="s">
        <v>1498</v>
      </c>
    </row>
    <row r="85" spans="1:8">
      <c r="B85" t="s">
        <v>1475</v>
      </c>
      <c r="D85" t="s">
        <v>1458</v>
      </c>
      <c r="F85" t="s">
        <v>1363</v>
      </c>
      <c r="G85" t="s">
        <v>1499</v>
      </c>
    </row>
    <row r="86" spans="1:8">
      <c r="B86" t="s">
        <v>1476</v>
      </c>
      <c r="D86" t="s">
        <v>1458</v>
      </c>
      <c r="F86" t="s">
        <v>1363</v>
      </c>
      <c r="G86" t="s">
        <v>1500</v>
      </c>
    </row>
    <row r="87" spans="1:8">
      <c r="B87" t="s">
        <v>1477</v>
      </c>
      <c r="D87" t="s">
        <v>1458</v>
      </c>
      <c r="F87" t="s">
        <v>1363</v>
      </c>
      <c r="G87" t="s">
        <v>1501</v>
      </c>
    </row>
    <row r="88" spans="1:8">
      <c r="A88" t="s">
        <v>1478</v>
      </c>
      <c r="B88" t="s">
        <v>1479</v>
      </c>
      <c r="C88" t="s">
        <v>1361</v>
      </c>
    </row>
    <row r="89" spans="1:8">
      <c r="B89" t="s">
        <v>1480</v>
      </c>
      <c r="D89" t="s">
        <v>1458</v>
      </c>
      <c r="F89" t="s">
        <v>1363</v>
      </c>
      <c r="G89" t="s">
        <v>1502</v>
      </c>
    </row>
    <row r="90" spans="1:8">
      <c r="B90" t="s">
        <v>1481</v>
      </c>
      <c r="D90" t="s">
        <v>1458</v>
      </c>
      <c r="F90" t="s">
        <v>1363</v>
      </c>
      <c r="G90" t="s">
        <v>1503</v>
      </c>
    </row>
    <row r="91" spans="1:8">
      <c r="B91" t="s">
        <v>1482</v>
      </c>
      <c r="D91" t="s">
        <v>1458</v>
      </c>
      <c r="F91" t="s">
        <v>1363</v>
      </c>
      <c r="G91" t="s">
        <v>1504</v>
      </c>
    </row>
    <row r="92" spans="1:8">
      <c r="B92" t="s">
        <v>1483</v>
      </c>
      <c r="D92" t="s">
        <v>1458</v>
      </c>
      <c r="F92" t="s">
        <v>1363</v>
      </c>
      <c r="G92" t="s">
        <v>1505</v>
      </c>
    </row>
    <row r="93" spans="1:8">
      <c r="B93" t="s">
        <v>1484</v>
      </c>
      <c r="F93" t="s">
        <v>1458</v>
      </c>
      <c r="G93" t="s">
        <v>1363</v>
      </c>
      <c r="H93" t="s">
        <v>1618</v>
      </c>
    </row>
    <row r="94" spans="1:8">
      <c r="B94" t="s">
        <v>1620</v>
      </c>
      <c r="E94" t="s">
        <v>1458</v>
      </c>
      <c r="G94" t="s">
        <v>1363</v>
      </c>
      <c r="H94" t="s">
        <v>1619</v>
      </c>
    </row>
    <row r="95" spans="1:8">
      <c r="B95" t="s">
        <v>1485</v>
      </c>
      <c r="D95" t="s">
        <v>1458</v>
      </c>
      <c r="F95" t="s">
        <v>1363</v>
      </c>
      <c r="G95" t="s">
        <v>1506</v>
      </c>
    </row>
    <row r="96" spans="1:8">
      <c r="B96" t="s">
        <v>1486</v>
      </c>
      <c r="D96" t="s">
        <v>1458</v>
      </c>
      <c r="F96" t="s">
        <v>1363</v>
      </c>
      <c r="G96" t="s">
        <v>1507</v>
      </c>
    </row>
    <row r="97" spans="1:8">
      <c r="A97" t="s">
        <v>1519</v>
      </c>
    </row>
    <row r="98" spans="1:8">
      <c r="B98" t="s">
        <v>1520</v>
      </c>
      <c r="E98" t="s">
        <v>1458</v>
      </c>
      <c r="G98" t="s">
        <v>1363</v>
      </c>
      <c r="H98" t="s">
        <v>1508</v>
      </c>
    </row>
    <row r="99" spans="1:8">
      <c r="B99" t="s">
        <v>1521</v>
      </c>
      <c r="E99" t="s">
        <v>1458</v>
      </c>
      <c r="G99" t="s">
        <v>1363</v>
      </c>
      <c r="H99" t="s">
        <v>1509</v>
      </c>
    </row>
    <row r="100" spans="1:8">
      <c r="B100" t="s">
        <v>1537</v>
      </c>
      <c r="E100" t="s">
        <v>1458</v>
      </c>
      <c r="G100" t="s">
        <v>1363</v>
      </c>
      <c r="H100" t="s">
        <v>1536</v>
      </c>
    </row>
    <row r="101" spans="1:8">
      <c r="B101" t="s">
        <v>1538</v>
      </c>
      <c r="E101" t="s">
        <v>1458</v>
      </c>
      <c r="G101" t="s">
        <v>1363</v>
      </c>
      <c r="H101" t="s">
        <v>1510</v>
      </c>
    </row>
    <row r="102" spans="1:8">
      <c r="B102" t="s">
        <v>1539</v>
      </c>
      <c r="E102" t="s">
        <v>1458</v>
      </c>
      <c r="G102" t="s">
        <v>1363</v>
      </c>
      <c r="H102" t="s">
        <v>1511</v>
      </c>
    </row>
    <row r="103" spans="1:8">
      <c r="B103" t="s">
        <v>1522</v>
      </c>
      <c r="D103" t="s">
        <v>1458</v>
      </c>
      <c r="F103" t="s">
        <v>1363</v>
      </c>
      <c r="G103" t="s">
        <v>1512</v>
      </c>
    </row>
    <row r="104" spans="1:8">
      <c r="B104" t="s">
        <v>1523</v>
      </c>
      <c r="F104" t="s">
        <v>1458</v>
      </c>
      <c r="G104" t="s">
        <v>1363</v>
      </c>
      <c r="H104" t="s">
        <v>1544</v>
      </c>
    </row>
    <row r="105" spans="1:8">
      <c r="B105" t="s">
        <v>1628</v>
      </c>
      <c r="F105" t="s">
        <v>1458</v>
      </c>
      <c r="G105" t="s">
        <v>1363</v>
      </c>
      <c r="H105" t="s">
        <v>1627</v>
      </c>
    </row>
    <row r="106" spans="1:8">
      <c r="A106" t="s">
        <v>1524</v>
      </c>
    </row>
    <row r="107" spans="1:8">
      <c r="B107" t="s">
        <v>1525</v>
      </c>
      <c r="E107" t="s">
        <v>1458</v>
      </c>
      <c r="G107" t="s">
        <v>1363</v>
      </c>
      <c r="H107" t="s">
        <v>1513</v>
      </c>
    </row>
    <row r="108" spans="1:8">
      <c r="B108" t="s">
        <v>1526</v>
      </c>
      <c r="D108" t="s">
        <v>1458</v>
      </c>
      <c r="F108" t="s">
        <v>1363</v>
      </c>
      <c r="G108" t="s">
        <v>1514</v>
      </c>
    </row>
    <row r="109" spans="1:8">
      <c r="B109" t="s">
        <v>1527</v>
      </c>
      <c r="E109" t="s">
        <v>1458</v>
      </c>
      <c r="G109" t="s">
        <v>1363</v>
      </c>
      <c r="H109" t="s">
        <v>1515</v>
      </c>
    </row>
    <row r="110" spans="1:8">
      <c r="B110" t="s">
        <v>1528</v>
      </c>
      <c r="E110" t="s">
        <v>1458</v>
      </c>
      <c r="G110" t="s">
        <v>1363</v>
      </c>
      <c r="H110" t="s">
        <v>1516</v>
      </c>
    </row>
    <row r="111" spans="1:8">
      <c r="B111" t="s">
        <v>1540</v>
      </c>
      <c r="D111" t="s">
        <v>1458</v>
      </c>
      <c r="F111" t="s">
        <v>1363</v>
      </c>
      <c r="G111" t="s">
        <v>1517</v>
      </c>
    </row>
    <row r="112" spans="1:8">
      <c r="B112" t="s">
        <v>1541</v>
      </c>
      <c r="F112" t="s">
        <v>1458</v>
      </c>
      <c r="G112" t="s">
        <v>1363</v>
      </c>
      <c r="H112" t="s">
        <v>1518</v>
      </c>
    </row>
    <row r="113" spans="1:8">
      <c r="B113" t="s">
        <v>1542</v>
      </c>
      <c r="F113" t="s">
        <v>1458</v>
      </c>
      <c r="G113" t="s">
        <v>1363</v>
      </c>
      <c r="H113" t="s">
        <v>1543</v>
      </c>
    </row>
    <row r="114" spans="1:8">
      <c r="B114" t="s">
        <v>1629</v>
      </c>
      <c r="F114" t="s">
        <v>1458</v>
      </c>
      <c r="G114" t="s">
        <v>1363</v>
      </c>
      <c r="H114" t="s">
        <v>1497</v>
      </c>
    </row>
    <row r="115" spans="1:8">
      <c r="A115" t="s">
        <v>1611</v>
      </c>
    </row>
    <row r="116" spans="1:8">
      <c r="B116" t="s">
        <v>1616</v>
      </c>
      <c r="E116" t="s">
        <v>1458</v>
      </c>
      <c r="G116" t="s">
        <v>1363</v>
      </c>
      <c r="H116" t="s">
        <v>1614</v>
      </c>
    </row>
    <row r="117" spans="1:8">
      <c r="B117" t="s">
        <v>1612</v>
      </c>
      <c r="E117" t="s">
        <v>1458</v>
      </c>
      <c r="G117" t="s">
        <v>1363</v>
      </c>
      <c r="H117" t="s">
        <v>1626</v>
      </c>
    </row>
    <row r="118" spans="1:8">
      <c r="B118" t="s">
        <v>1617</v>
      </c>
      <c r="E118" t="s">
        <v>1458</v>
      </c>
      <c r="G118" t="s">
        <v>1363</v>
      </c>
      <c r="H118" t="s">
        <v>1625</v>
      </c>
    </row>
    <row r="119" spans="1:8">
      <c r="B119" t="s">
        <v>1613</v>
      </c>
      <c r="E119" t="s">
        <v>1458</v>
      </c>
      <c r="G119" t="s">
        <v>1363</v>
      </c>
      <c r="H119" t="s">
        <v>1615</v>
      </c>
    </row>
    <row r="120" spans="1:8">
      <c r="B120" t="s">
        <v>1621</v>
      </c>
      <c r="F120" t="s">
        <v>1458</v>
      </c>
      <c r="G120" t="s">
        <v>1363</v>
      </c>
      <c r="H120" t="s">
        <v>1497</v>
      </c>
    </row>
    <row r="121" spans="1:8">
      <c r="B121" t="s">
        <v>1622</v>
      </c>
      <c r="F121" t="s">
        <v>1458</v>
      </c>
      <c r="G121" t="s">
        <v>1363</v>
      </c>
      <c r="H121" t="s">
        <v>1497</v>
      </c>
    </row>
    <row r="122" spans="1:8">
      <c r="B122" t="s">
        <v>1623</v>
      </c>
      <c r="F122" t="s">
        <v>1458</v>
      </c>
      <c r="G122" t="s">
        <v>1363</v>
      </c>
      <c r="H122" t="s">
        <v>1497</v>
      </c>
    </row>
    <row r="123" spans="1:8">
      <c r="B123" t="s">
        <v>1624</v>
      </c>
      <c r="F123" t="s">
        <v>1458</v>
      </c>
      <c r="G123" t="s">
        <v>1363</v>
      </c>
      <c r="H123" t="s">
        <v>1497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IO列表</vt:lpstr>
      <vt:lpstr>ADS通信规程</vt:lpstr>
      <vt:lpstr>Sheet1</vt:lpstr>
      <vt:lpstr>锥度计算</vt:lpstr>
      <vt:lpstr>可以设置的参数</vt:lpstr>
      <vt:lpstr>变频与伺服</vt:lpstr>
      <vt:lpstr>ConfigData</vt:lpstr>
      <vt:lpstr>后挡计算</vt:lpstr>
      <vt:lpstr>调试测试数据</vt:lpstr>
      <vt:lpstr>进料分组</vt:lpstr>
      <vt:lpstr>IO映射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Wanghg</dc:creator>
  <cp:lastModifiedBy>寅飞 高</cp:lastModifiedBy>
  <dcterms:created xsi:type="dcterms:W3CDTF">2015-06-05T18:19:34Z</dcterms:created>
  <dcterms:modified xsi:type="dcterms:W3CDTF">2026-03-18T08:48:20Z</dcterms:modified>
</cp:coreProperties>
</file>