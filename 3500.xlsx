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3" i="1" l="1"/>
  <c r="G33" i="1" s="1"/>
  <c r="J33" i="1"/>
  <c r="I33" i="1" s="1"/>
  <c r="Q33" i="1"/>
  <c r="H34" i="1"/>
  <c r="G34" i="1" s="1"/>
  <c r="J34" i="1"/>
  <c r="I34" i="1" s="1"/>
  <c r="Q34" i="1"/>
  <c r="H35" i="1"/>
  <c r="G35" i="1" s="1"/>
  <c r="J35" i="1"/>
  <c r="I35" i="1" s="1"/>
  <c r="Q35" i="1"/>
  <c r="H36" i="1"/>
  <c r="G36" i="1" s="1"/>
  <c r="I36" i="1"/>
  <c r="J36" i="1"/>
  <c r="Q36" i="1"/>
  <c r="H37" i="1"/>
  <c r="G37" i="1" s="1"/>
  <c r="J37" i="1"/>
  <c r="I37" i="1" s="1"/>
  <c r="Q37" i="1"/>
  <c r="H38" i="1"/>
  <c r="G38" i="1" s="1"/>
  <c r="J38" i="1"/>
  <c r="I38" i="1" s="1"/>
  <c r="Q38" i="1"/>
  <c r="H39" i="1"/>
  <c r="G39" i="1" s="1"/>
  <c r="J39" i="1"/>
  <c r="I39" i="1" s="1"/>
  <c r="Q39" i="1"/>
  <c r="H40" i="1"/>
  <c r="G40" i="1" s="1"/>
  <c r="J40" i="1"/>
  <c r="I40" i="1" s="1"/>
  <c r="Q40" i="1"/>
  <c r="H41" i="1"/>
  <c r="G41" i="1" s="1"/>
  <c r="J41" i="1"/>
  <c r="I41" i="1" s="1"/>
  <c r="Q41" i="1"/>
  <c r="H42" i="1"/>
  <c r="G42" i="1" s="1"/>
  <c r="J42" i="1"/>
  <c r="I42" i="1" s="1"/>
  <c r="Q42" i="1"/>
  <c r="H43" i="1"/>
  <c r="G43" i="1" s="1"/>
  <c r="J43" i="1"/>
  <c r="I43" i="1" s="1"/>
  <c r="Q43" i="1"/>
  <c r="H44" i="1"/>
  <c r="G44" i="1" s="1"/>
  <c r="J44" i="1"/>
  <c r="I44" i="1" s="1"/>
  <c r="Q44" i="1"/>
  <c r="J32" i="1"/>
  <c r="H32" i="1"/>
  <c r="Q32" i="1"/>
  <c r="I32" i="1"/>
  <c r="G32" i="1"/>
  <c r="J18" i="1"/>
  <c r="I18" i="1" s="1"/>
  <c r="J19" i="1"/>
  <c r="I19" i="1" s="1"/>
  <c r="J20" i="1"/>
  <c r="I20" i="1" s="1"/>
  <c r="J21" i="1"/>
  <c r="I21" i="1" s="1"/>
  <c r="J22" i="1"/>
  <c r="I22" i="1" s="1"/>
  <c r="J23" i="1"/>
  <c r="I23" i="1" s="1"/>
  <c r="J24" i="1"/>
  <c r="J25" i="1"/>
  <c r="J26" i="1"/>
  <c r="J27" i="1"/>
  <c r="J28" i="1"/>
  <c r="J29" i="1"/>
  <c r="H18" i="1"/>
  <c r="G18" i="1" s="1"/>
  <c r="H19" i="1"/>
  <c r="G19" i="1" s="1"/>
  <c r="H20" i="1"/>
  <c r="H21" i="1"/>
  <c r="H22" i="1"/>
  <c r="H23" i="1"/>
  <c r="H24" i="1"/>
  <c r="H25" i="1"/>
  <c r="H26" i="1"/>
  <c r="H27" i="1"/>
  <c r="H28" i="1"/>
  <c r="H29" i="1"/>
  <c r="F2" i="1"/>
  <c r="F4" i="1"/>
  <c r="F5" i="1"/>
  <c r="F6" i="1"/>
  <c r="F7" i="1"/>
  <c r="F8" i="1"/>
  <c r="F9" i="1"/>
  <c r="F10" i="1"/>
  <c r="I25" i="1" s="1"/>
  <c r="F11" i="1"/>
  <c r="I26" i="1" s="1"/>
  <c r="F12" i="1"/>
  <c r="I27" i="1" s="1"/>
  <c r="F13" i="1"/>
  <c r="I28" i="1" s="1"/>
  <c r="F14" i="1"/>
  <c r="I29" i="1" s="1"/>
  <c r="O19" i="1"/>
  <c r="O20" i="1"/>
  <c r="O21" i="1"/>
  <c r="O22" i="1"/>
  <c r="O23" i="1"/>
  <c r="O24" i="1"/>
  <c r="O25" i="1"/>
  <c r="O26" i="1"/>
  <c r="O27" i="1"/>
  <c r="O28" i="1"/>
  <c r="O29" i="1"/>
  <c r="O18" i="1"/>
  <c r="M19" i="1"/>
  <c r="M20" i="1"/>
  <c r="M21" i="1"/>
  <c r="M22" i="1"/>
  <c r="M23" i="1"/>
  <c r="M24" i="1"/>
  <c r="M25" i="1"/>
  <c r="M26" i="1"/>
  <c r="M27" i="1"/>
  <c r="M28" i="1"/>
  <c r="M29" i="1"/>
  <c r="M18" i="1"/>
  <c r="Q18" i="1"/>
  <c r="Q19" i="1"/>
  <c r="Q20" i="1"/>
  <c r="Q21" i="1"/>
  <c r="Q22" i="1"/>
  <c r="Q23" i="1"/>
  <c r="Q24" i="1"/>
  <c r="Q25" i="1"/>
  <c r="Q26" i="1"/>
  <c r="Q27" i="1"/>
  <c r="Q28" i="1"/>
  <c r="Q29" i="1"/>
  <c r="Q17" i="1"/>
  <c r="J17" i="1"/>
  <c r="I17" i="1" s="1"/>
  <c r="G20" i="1"/>
  <c r="G21" i="1"/>
  <c r="G22" i="1"/>
  <c r="G23" i="1"/>
  <c r="G24" i="1"/>
  <c r="G25" i="1"/>
  <c r="G26" i="1"/>
  <c r="G27" i="1"/>
  <c r="G28" i="1"/>
  <c r="G29" i="1"/>
  <c r="H17" i="1"/>
  <c r="G17" i="1" s="1"/>
  <c r="F3" i="1"/>
  <c r="E3" i="1"/>
  <c r="E4" i="1"/>
  <c r="E5" i="1"/>
  <c r="E6" i="1"/>
  <c r="E7" i="1"/>
  <c r="E8" i="1"/>
  <c r="E9" i="1"/>
  <c r="E10" i="1"/>
  <c r="E11" i="1"/>
  <c r="E12" i="1"/>
  <c r="E13" i="1"/>
  <c r="E14" i="1"/>
  <c r="E2" i="1"/>
  <c r="I24" i="1" l="1"/>
</calcChain>
</file>

<file path=xl/sharedStrings.xml><?xml version="1.0" encoding="utf-8"?>
<sst xmlns="http://schemas.openxmlformats.org/spreadsheetml/2006/main" count="7" uniqueCount="7">
  <si>
    <t>T2</t>
    <phoneticPr fontId="1" type="noConversion"/>
  </si>
  <si>
    <t>T3</t>
    <phoneticPr fontId="1" type="noConversion"/>
  </si>
  <si>
    <t>Tpr_T2</t>
    <phoneticPr fontId="1" type="noConversion"/>
  </si>
  <si>
    <t>Tpr_T3</t>
    <phoneticPr fontId="1" type="noConversion"/>
  </si>
  <si>
    <t>TAPERSCAL</t>
    <phoneticPr fontId="1" type="noConversion"/>
  </si>
  <si>
    <t>头</t>
    <phoneticPr fontId="1" type="noConversion"/>
  </si>
  <si>
    <t>尾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</si>
</sst>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8" formatCode="0.0000_ 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8" fontId="0" fillId="0" borderId="0" xfId="0" applyNumberFormat="1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4"/>
  <sheetViews>
    <sheetView tabSelected="1" workbookViewId="0">
      <selection activeCell="J18" sqref="J18"/>
    </sheetView>
  </sheetViews>
  <sheetFormatPr defaultRowHeight="14.25" x14ac:dyDescent="0.2"/>
  <cols>
    <col min="6" max="6" width="29" customWidth="1"/>
    <col min="8" max="8" width="11.25" bestFit="1" customWidth="1"/>
  </cols>
  <sheetData>
    <row r="1" spans="1:11" x14ac:dyDescent="0.2">
      <c r="A1" t="s">
        <v>5</v>
      </c>
      <c r="B1" t="s">
        <v>6</v>
      </c>
      <c r="G1" t="s">
        <v>0</v>
      </c>
      <c r="H1" t="s">
        <v>2</v>
      </c>
      <c r="I1" t="s">
        <v>1</v>
      </c>
      <c r="J1" t="s">
        <v>3</v>
      </c>
      <c r="K1" t="s">
        <v>4</v>
      </c>
    </row>
    <row r="2" spans="1:11" x14ac:dyDescent="0.2">
      <c r="C2">
        <v>290</v>
      </c>
      <c r="D2">
        <v>430</v>
      </c>
      <c r="E2">
        <f>D2-C2</f>
        <v>140</v>
      </c>
      <c r="F2" s="1">
        <f t="shared" ref="F2:F14" si="0">E2/3500</f>
        <v>0.04</v>
      </c>
      <c r="G2">
        <v>348</v>
      </c>
      <c r="H2">
        <v>58.4</v>
      </c>
      <c r="I2">
        <v>378</v>
      </c>
      <c r="J2">
        <v>88</v>
      </c>
      <c r="K2">
        <v>40</v>
      </c>
    </row>
    <row r="3" spans="1:11" x14ac:dyDescent="0.2">
      <c r="A3">
        <v>20</v>
      </c>
      <c r="B3">
        <v>40</v>
      </c>
      <c r="C3">
        <v>270</v>
      </c>
      <c r="D3">
        <v>390</v>
      </c>
      <c r="E3">
        <f t="shared" ref="E3:E14" si="1">D3-C3</f>
        <v>120</v>
      </c>
      <c r="F3" s="1">
        <f t="shared" si="0"/>
        <v>3.4285714285714287E-2</v>
      </c>
      <c r="G3">
        <v>320</v>
      </c>
      <c r="H3">
        <v>49.6</v>
      </c>
      <c r="I3">
        <v>345</v>
      </c>
      <c r="J3">
        <v>74.8</v>
      </c>
      <c r="K3">
        <v>34</v>
      </c>
    </row>
    <row r="4" spans="1:11" x14ac:dyDescent="0.2">
      <c r="A4">
        <v>25</v>
      </c>
      <c r="B4">
        <v>25</v>
      </c>
      <c r="C4">
        <v>245</v>
      </c>
      <c r="D4">
        <v>365</v>
      </c>
      <c r="E4">
        <f t="shared" si="1"/>
        <v>120</v>
      </c>
      <c r="F4" s="1">
        <f t="shared" si="0"/>
        <v>3.4285714285714287E-2</v>
      </c>
      <c r="G4">
        <v>295</v>
      </c>
      <c r="H4">
        <v>49.6</v>
      </c>
      <c r="I4">
        <v>320</v>
      </c>
      <c r="J4">
        <v>74.8</v>
      </c>
    </row>
    <row r="5" spans="1:11" x14ac:dyDescent="0.2">
      <c r="A5">
        <v>20</v>
      </c>
      <c r="B5">
        <v>40</v>
      </c>
      <c r="C5">
        <v>225</v>
      </c>
      <c r="D5">
        <v>325</v>
      </c>
      <c r="E5">
        <f t="shared" si="1"/>
        <v>100</v>
      </c>
      <c r="F5" s="1">
        <f t="shared" si="0"/>
        <v>2.8571428571428571E-2</v>
      </c>
      <c r="G5">
        <v>267</v>
      </c>
      <c r="H5">
        <v>42.3</v>
      </c>
      <c r="I5">
        <v>289</v>
      </c>
      <c r="J5">
        <v>63.8</v>
      </c>
      <c r="K5">
        <v>29</v>
      </c>
    </row>
    <row r="6" spans="1:11" x14ac:dyDescent="0.2">
      <c r="A6">
        <v>25</v>
      </c>
      <c r="B6">
        <v>25</v>
      </c>
      <c r="C6">
        <v>200</v>
      </c>
      <c r="D6">
        <v>300</v>
      </c>
      <c r="E6">
        <f t="shared" si="1"/>
        <v>100</v>
      </c>
      <c r="F6" s="1">
        <f t="shared" si="0"/>
        <v>2.8571428571428571E-2</v>
      </c>
      <c r="G6">
        <v>242</v>
      </c>
      <c r="H6">
        <v>42.3</v>
      </c>
      <c r="I6">
        <v>264</v>
      </c>
      <c r="J6">
        <v>63.8</v>
      </c>
    </row>
    <row r="7" spans="1:11" x14ac:dyDescent="0.2">
      <c r="A7">
        <v>20</v>
      </c>
      <c r="B7">
        <v>40</v>
      </c>
      <c r="C7">
        <v>180</v>
      </c>
      <c r="D7">
        <v>260</v>
      </c>
      <c r="E7">
        <f t="shared" si="1"/>
        <v>80</v>
      </c>
      <c r="F7" s="1">
        <f t="shared" si="0"/>
        <v>2.2857142857142857E-2</v>
      </c>
      <c r="G7">
        <v>214</v>
      </c>
      <c r="H7">
        <v>33.6</v>
      </c>
      <c r="I7">
        <v>231</v>
      </c>
      <c r="J7">
        <v>50.6</v>
      </c>
      <c r="K7">
        <v>23</v>
      </c>
    </row>
    <row r="8" spans="1:11" x14ac:dyDescent="0.2">
      <c r="A8">
        <v>25</v>
      </c>
      <c r="B8">
        <v>25</v>
      </c>
      <c r="C8">
        <v>155</v>
      </c>
      <c r="D8">
        <v>235</v>
      </c>
      <c r="E8">
        <f t="shared" si="1"/>
        <v>80</v>
      </c>
      <c r="F8" s="1">
        <f t="shared" si="0"/>
        <v>2.2857142857142857E-2</v>
      </c>
      <c r="G8">
        <v>189</v>
      </c>
      <c r="I8">
        <v>206</v>
      </c>
    </row>
    <row r="9" spans="1:11" x14ac:dyDescent="0.2">
      <c r="A9">
        <v>20</v>
      </c>
      <c r="B9">
        <v>40</v>
      </c>
      <c r="C9">
        <v>135</v>
      </c>
      <c r="D9">
        <v>195</v>
      </c>
      <c r="E9">
        <f t="shared" si="1"/>
        <v>60</v>
      </c>
      <c r="F9" s="1">
        <f t="shared" si="0"/>
        <v>1.7142857142857144E-2</v>
      </c>
      <c r="G9">
        <v>160</v>
      </c>
      <c r="H9">
        <v>24.8</v>
      </c>
      <c r="I9">
        <v>172</v>
      </c>
      <c r="J9">
        <v>37.4</v>
      </c>
      <c r="K9">
        <v>17</v>
      </c>
    </row>
    <row r="10" spans="1:11" x14ac:dyDescent="0.2">
      <c r="A10">
        <v>25</v>
      </c>
      <c r="B10">
        <v>25</v>
      </c>
      <c r="C10">
        <v>110</v>
      </c>
      <c r="D10">
        <v>170</v>
      </c>
      <c r="E10">
        <f t="shared" si="1"/>
        <v>60</v>
      </c>
      <c r="F10" s="1">
        <f t="shared" si="0"/>
        <v>1.7142857142857144E-2</v>
      </c>
      <c r="G10">
        <v>135</v>
      </c>
      <c r="I10">
        <v>147</v>
      </c>
    </row>
    <row r="11" spans="1:11" x14ac:dyDescent="0.2">
      <c r="A11">
        <v>20</v>
      </c>
      <c r="B11">
        <v>40</v>
      </c>
      <c r="C11">
        <v>90</v>
      </c>
      <c r="D11">
        <v>130</v>
      </c>
      <c r="E11">
        <f t="shared" si="1"/>
        <v>40</v>
      </c>
      <c r="F11" s="1">
        <f t="shared" si="0"/>
        <v>1.1428571428571429E-2</v>
      </c>
      <c r="G11">
        <v>106</v>
      </c>
      <c r="H11">
        <v>16.100000000000001</v>
      </c>
      <c r="I11">
        <v>114</v>
      </c>
      <c r="J11">
        <v>24.2</v>
      </c>
      <c r="K11">
        <v>11</v>
      </c>
    </row>
    <row r="12" spans="1:11" x14ac:dyDescent="0.2">
      <c r="A12">
        <v>25</v>
      </c>
      <c r="B12">
        <v>25</v>
      </c>
      <c r="C12">
        <v>65</v>
      </c>
      <c r="D12">
        <v>105</v>
      </c>
      <c r="E12">
        <f t="shared" si="1"/>
        <v>40</v>
      </c>
      <c r="F12" s="1">
        <f t="shared" si="0"/>
        <v>1.1428571428571429E-2</v>
      </c>
      <c r="G12">
        <v>81.099999999999994</v>
      </c>
      <c r="I12">
        <v>89.2</v>
      </c>
    </row>
    <row r="13" spans="1:11" x14ac:dyDescent="0.2">
      <c r="A13">
        <v>20</v>
      </c>
      <c r="B13">
        <v>40</v>
      </c>
      <c r="C13">
        <v>45</v>
      </c>
      <c r="D13">
        <v>65</v>
      </c>
      <c r="E13">
        <f t="shared" si="1"/>
        <v>20</v>
      </c>
      <c r="F13" s="1">
        <f t="shared" si="0"/>
        <v>5.7142857142857143E-3</v>
      </c>
      <c r="G13">
        <v>53.8</v>
      </c>
      <c r="H13">
        <v>8.76</v>
      </c>
      <c r="I13">
        <v>58.2</v>
      </c>
      <c r="J13">
        <v>13.2</v>
      </c>
      <c r="K13">
        <v>6</v>
      </c>
    </row>
    <row r="14" spans="1:11" x14ac:dyDescent="0.2">
      <c r="A14">
        <v>25</v>
      </c>
      <c r="B14">
        <v>25</v>
      </c>
      <c r="C14">
        <v>20</v>
      </c>
      <c r="D14">
        <v>40</v>
      </c>
      <c r="E14">
        <f t="shared" si="1"/>
        <v>20</v>
      </c>
      <c r="F14" s="1">
        <f t="shared" si="0"/>
        <v>5.7142857142857143E-3</v>
      </c>
      <c r="G14">
        <v>28.8</v>
      </c>
      <c r="I14">
        <v>33.200000000000003</v>
      </c>
    </row>
    <row r="15" spans="1:11" x14ac:dyDescent="0.2">
      <c r="A15">
        <v>20</v>
      </c>
      <c r="B15">
        <v>40</v>
      </c>
    </row>
    <row r="17" spans="6:17" x14ac:dyDescent="0.2">
      <c r="F17">
        <v>290</v>
      </c>
      <c r="G17">
        <f>F17+H17</f>
        <v>348.4</v>
      </c>
      <c r="H17">
        <f>F2*1460</f>
        <v>58.4</v>
      </c>
      <c r="I17">
        <f>F17+J17</f>
        <v>378</v>
      </c>
      <c r="J17">
        <f>F2*2200</f>
        <v>88</v>
      </c>
      <c r="L17">
        <v>348</v>
      </c>
      <c r="N17">
        <v>348.4</v>
      </c>
      <c r="Q17">
        <f>N17-L17</f>
        <v>0.39999999999997726</v>
      </c>
    </row>
    <row r="18" spans="6:17" x14ac:dyDescent="0.2">
      <c r="F18">
        <v>270</v>
      </c>
      <c r="G18">
        <f t="shared" ref="G18:G29" si="2">F18+H18</f>
        <v>320.05714285714288</v>
      </c>
      <c r="H18">
        <f t="shared" ref="H18:H29" si="3">F3*1460</f>
        <v>50.057142857142857</v>
      </c>
      <c r="I18">
        <f t="shared" ref="I18:I29" si="4">F18+J18</f>
        <v>345.42857142857144</v>
      </c>
      <c r="J18">
        <f t="shared" ref="J18:J29" si="5">F3*2200</f>
        <v>75.428571428571431</v>
      </c>
      <c r="L18">
        <v>320</v>
      </c>
      <c r="M18">
        <f>L17-L18</f>
        <v>28</v>
      </c>
      <c r="N18" s="2">
        <v>320.05714285714288</v>
      </c>
      <c r="O18">
        <f>N17-N18</f>
        <v>28.342857142857099</v>
      </c>
      <c r="Q18">
        <f>N18-L18</f>
        <v>5.7142857142878256E-2</v>
      </c>
    </row>
    <row r="19" spans="6:17" x14ac:dyDescent="0.2">
      <c r="F19">
        <v>245</v>
      </c>
      <c r="G19">
        <f t="shared" si="2"/>
        <v>295.05714285714288</v>
      </c>
      <c r="H19">
        <f t="shared" si="3"/>
        <v>50.057142857142857</v>
      </c>
      <c r="I19">
        <f t="shared" si="4"/>
        <v>320.42857142857144</v>
      </c>
      <c r="J19">
        <f t="shared" si="5"/>
        <v>75.428571428571431</v>
      </c>
      <c r="L19">
        <v>295</v>
      </c>
      <c r="M19">
        <f t="shared" ref="M19:M29" si="6">L18-L19</f>
        <v>25</v>
      </c>
      <c r="N19" s="2">
        <v>295.05714285714288</v>
      </c>
      <c r="O19">
        <f t="shared" ref="O19:O29" si="7">N18-N19</f>
        <v>25</v>
      </c>
      <c r="Q19">
        <f>N19-L19</f>
        <v>5.7142857142878256E-2</v>
      </c>
    </row>
    <row r="20" spans="6:17" x14ac:dyDescent="0.2">
      <c r="F20">
        <v>225</v>
      </c>
      <c r="G20">
        <f t="shared" si="2"/>
        <v>266.71428571428572</v>
      </c>
      <c r="H20">
        <f t="shared" si="3"/>
        <v>41.714285714285715</v>
      </c>
      <c r="I20">
        <f t="shared" si="4"/>
        <v>287.85714285714283</v>
      </c>
      <c r="J20">
        <f t="shared" si="5"/>
        <v>62.857142857142854</v>
      </c>
      <c r="L20">
        <v>267</v>
      </c>
      <c r="M20">
        <f t="shared" si="6"/>
        <v>28</v>
      </c>
      <c r="N20" s="2">
        <v>266.71428571428572</v>
      </c>
      <c r="O20">
        <f t="shared" si="7"/>
        <v>28.342857142857156</v>
      </c>
      <c r="Q20">
        <f>N20-L20</f>
        <v>-0.28571428571427759</v>
      </c>
    </row>
    <row r="21" spans="6:17" x14ac:dyDescent="0.2">
      <c r="F21">
        <v>200</v>
      </c>
      <c r="G21">
        <f t="shared" si="2"/>
        <v>241.71428571428572</v>
      </c>
      <c r="H21">
        <f t="shared" si="3"/>
        <v>41.714285714285715</v>
      </c>
      <c r="I21">
        <f t="shared" si="4"/>
        <v>262.85714285714283</v>
      </c>
      <c r="J21">
        <f t="shared" si="5"/>
        <v>62.857142857142854</v>
      </c>
      <c r="L21">
        <v>242</v>
      </c>
      <c r="M21">
        <f t="shared" si="6"/>
        <v>25</v>
      </c>
      <c r="N21" s="2">
        <v>241.71428571428572</v>
      </c>
      <c r="O21">
        <f t="shared" si="7"/>
        <v>25</v>
      </c>
      <c r="Q21">
        <f>N21-L21</f>
        <v>-0.28571428571427759</v>
      </c>
    </row>
    <row r="22" spans="6:17" x14ac:dyDescent="0.2">
      <c r="F22">
        <v>180</v>
      </c>
      <c r="G22">
        <f t="shared" si="2"/>
        <v>213.37142857142857</v>
      </c>
      <c r="H22">
        <f t="shared" si="3"/>
        <v>33.371428571428574</v>
      </c>
      <c r="I22">
        <f t="shared" si="4"/>
        <v>230.28571428571428</v>
      </c>
      <c r="J22">
        <f t="shared" si="5"/>
        <v>50.285714285714285</v>
      </c>
      <c r="L22">
        <v>214</v>
      </c>
      <c r="M22">
        <f t="shared" si="6"/>
        <v>28</v>
      </c>
      <c r="N22" s="2">
        <v>213.37142857142857</v>
      </c>
      <c r="O22">
        <f t="shared" si="7"/>
        <v>28.342857142857156</v>
      </c>
      <c r="Q22">
        <f>N22-L22</f>
        <v>-0.62857142857143344</v>
      </c>
    </row>
    <row r="23" spans="6:17" x14ac:dyDescent="0.2">
      <c r="F23">
        <v>155</v>
      </c>
      <c r="G23">
        <f t="shared" si="2"/>
        <v>188.37142857142857</v>
      </c>
      <c r="H23">
        <f t="shared" si="3"/>
        <v>33.371428571428574</v>
      </c>
      <c r="I23">
        <f t="shared" si="4"/>
        <v>205.28571428571428</v>
      </c>
      <c r="J23">
        <f t="shared" si="5"/>
        <v>50.285714285714285</v>
      </c>
      <c r="L23">
        <v>189</v>
      </c>
      <c r="M23">
        <f t="shared" si="6"/>
        <v>25</v>
      </c>
      <c r="N23" s="2">
        <v>188.37142857142857</v>
      </c>
      <c r="O23">
        <f t="shared" si="7"/>
        <v>25</v>
      </c>
      <c r="Q23">
        <f>N23-L23</f>
        <v>-0.62857142857143344</v>
      </c>
    </row>
    <row r="24" spans="6:17" x14ac:dyDescent="0.2">
      <c r="F24">
        <v>135</v>
      </c>
      <c r="G24">
        <f t="shared" si="2"/>
        <v>160.02857142857144</v>
      </c>
      <c r="H24">
        <f t="shared" si="3"/>
        <v>25.028571428571428</v>
      </c>
      <c r="I24">
        <f t="shared" si="4"/>
        <v>172.71428571428572</v>
      </c>
      <c r="J24">
        <f t="shared" si="5"/>
        <v>37.714285714285715</v>
      </c>
      <c r="L24">
        <v>160</v>
      </c>
      <c r="M24">
        <f t="shared" si="6"/>
        <v>29</v>
      </c>
      <c r="N24" s="2">
        <v>160.02857142857144</v>
      </c>
      <c r="O24">
        <f t="shared" si="7"/>
        <v>28.342857142857127</v>
      </c>
      <c r="Q24">
        <f>N24-L24</f>
        <v>2.8571428571439128E-2</v>
      </c>
    </row>
    <row r="25" spans="6:17" x14ac:dyDescent="0.2">
      <c r="F25">
        <v>110</v>
      </c>
      <c r="G25">
        <f t="shared" si="2"/>
        <v>135.02857142857144</v>
      </c>
      <c r="H25">
        <f t="shared" si="3"/>
        <v>25.028571428571428</v>
      </c>
      <c r="I25">
        <f t="shared" si="4"/>
        <v>147.71428571428572</v>
      </c>
      <c r="J25">
        <f t="shared" si="5"/>
        <v>37.714285714285715</v>
      </c>
      <c r="L25">
        <v>135</v>
      </c>
      <c r="M25">
        <f t="shared" si="6"/>
        <v>25</v>
      </c>
      <c r="N25" s="2">
        <v>135.02857142857144</v>
      </c>
      <c r="O25">
        <f t="shared" si="7"/>
        <v>25</v>
      </c>
      <c r="Q25">
        <f>N25-L25</f>
        <v>2.8571428571439128E-2</v>
      </c>
    </row>
    <row r="26" spans="6:17" x14ac:dyDescent="0.2">
      <c r="F26">
        <v>90</v>
      </c>
      <c r="G26">
        <f t="shared" si="2"/>
        <v>106.68571428571428</v>
      </c>
      <c r="H26">
        <f t="shared" si="3"/>
        <v>16.685714285714287</v>
      </c>
      <c r="I26">
        <f t="shared" si="4"/>
        <v>115.14285714285714</v>
      </c>
      <c r="J26">
        <f t="shared" si="5"/>
        <v>25.142857142857142</v>
      </c>
      <c r="L26">
        <v>106</v>
      </c>
      <c r="M26">
        <f t="shared" si="6"/>
        <v>29</v>
      </c>
      <c r="N26" s="2">
        <v>106.68571428571428</v>
      </c>
      <c r="O26">
        <f t="shared" si="7"/>
        <v>28.342857142857156</v>
      </c>
      <c r="Q26">
        <f>N26-L26</f>
        <v>0.68571428571428328</v>
      </c>
    </row>
    <row r="27" spans="6:17" x14ac:dyDescent="0.2">
      <c r="F27">
        <v>65</v>
      </c>
      <c r="G27">
        <f t="shared" si="2"/>
        <v>81.685714285714283</v>
      </c>
      <c r="H27">
        <f t="shared" si="3"/>
        <v>16.685714285714287</v>
      </c>
      <c r="I27">
        <f t="shared" si="4"/>
        <v>90.142857142857139</v>
      </c>
      <c r="J27">
        <f t="shared" si="5"/>
        <v>25.142857142857142</v>
      </c>
      <c r="L27">
        <v>81.099999999999994</v>
      </c>
      <c r="M27">
        <f t="shared" si="6"/>
        <v>24.900000000000006</v>
      </c>
      <c r="N27" s="2">
        <v>81.685714285714283</v>
      </c>
      <c r="O27">
        <f t="shared" si="7"/>
        <v>25</v>
      </c>
      <c r="Q27">
        <f>N27-L27</f>
        <v>0.58571428571428896</v>
      </c>
    </row>
    <row r="28" spans="6:17" x14ac:dyDescent="0.2">
      <c r="F28">
        <v>45</v>
      </c>
      <c r="G28">
        <f t="shared" si="2"/>
        <v>53.342857142857142</v>
      </c>
      <c r="H28">
        <f t="shared" si="3"/>
        <v>8.3428571428571434</v>
      </c>
      <c r="I28">
        <f t="shared" si="4"/>
        <v>57.571428571428569</v>
      </c>
      <c r="J28">
        <f t="shared" si="5"/>
        <v>12.571428571428571</v>
      </c>
      <c r="L28">
        <v>53.8</v>
      </c>
      <c r="M28">
        <f t="shared" si="6"/>
        <v>27.299999999999997</v>
      </c>
      <c r="N28" s="2">
        <v>53.342857142857142</v>
      </c>
      <c r="O28">
        <f t="shared" si="7"/>
        <v>28.342857142857142</v>
      </c>
      <c r="Q28">
        <f>N28-L28</f>
        <v>-0.45714285714285552</v>
      </c>
    </row>
    <row r="29" spans="6:17" x14ac:dyDescent="0.2">
      <c r="F29">
        <v>20</v>
      </c>
      <c r="G29">
        <f t="shared" si="2"/>
        <v>28.342857142857142</v>
      </c>
      <c r="H29">
        <f t="shared" si="3"/>
        <v>8.3428571428571434</v>
      </c>
      <c r="I29">
        <f t="shared" si="4"/>
        <v>32.571428571428569</v>
      </c>
      <c r="J29">
        <f t="shared" si="5"/>
        <v>12.571428571428571</v>
      </c>
      <c r="L29">
        <v>28.8</v>
      </c>
      <c r="M29">
        <f t="shared" si="6"/>
        <v>24.999999999999996</v>
      </c>
      <c r="N29" s="2">
        <v>28.342857142857142</v>
      </c>
      <c r="O29">
        <f t="shared" si="7"/>
        <v>25</v>
      </c>
      <c r="Q29">
        <f>N29-L29</f>
        <v>-0.45714285714285907</v>
      </c>
    </row>
    <row r="32" spans="6:17" x14ac:dyDescent="0.2">
      <c r="F32">
        <v>290</v>
      </c>
      <c r="G32">
        <f>F32+H32</f>
        <v>348.4</v>
      </c>
      <c r="H32">
        <f>F2*1460</f>
        <v>58.4</v>
      </c>
      <c r="I32">
        <f>F32+J32</f>
        <v>378</v>
      </c>
      <c r="J32">
        <f>F2*2200</f>
        <v>88</v>
      </c>
      <c r="L32">
        <v>348</v>
      </c>
      <c r="N32">
        <v>348.4</v>
      </c>
      <c r="Q32">
        <f>N32-L32</f>
        <v>0.39999999999997726</v>
      </c>
    </row>
    <row r="33" spans="6:17" x14ac:dyDescent="0.2">
      <c r="F33">
        <v>270</v>
      </c>
      <c r="G33">
        <f t="shared" ref="G33:G44" si="8">F33+H33</f>
        <v>320.05714285714288</v>
      </c>
      <c r="H33">
        <f t="shared" ref="H33:H44" si="9">F3*1460</f>
        <v>50.057142857142857</v>
      </c>
      <c r="I33">
        <f t="shared" ref="I33:I44" si="10">F33+J33</f>
        <v>345.42857142857144</v>
      </c>
      <c r="J33">
        <f t="shared" ref="J33:J44" si="11">F3*2200</f>
        <v>75.428571428571431</v>
      </c>
      <c r="L33">
        <v>348</v>
      </c>
      <c r="N33">
        <v>348.4</v>
      </c>
      <c r="Q33">
        <f t="shared" ref="Q33:Q44" si="12">N33-L33</f>
        <v>0.39999999999997726</v>
      </c>
    </row>
    <row r="34" spans="6:17" x14ac:dyDescent="0.2">
      <c r="F34">
        <v>245</v>
      </c>
      <c r="G34">
        <f t="shared" si="8"/>
        <v>295.05714285714288</v>
      </c>
      <c r="H34">
        <f t="shared" si="9"/>
        <v>50.057142857142857</v>
      </c>
      <c r="I34">
        <f t="shared" si="10"/>
        <v>320.42857142857144</v>
      </c>
      <c r="J34">
        <f t="shared" si="11"/>
        <v>75.428571428571431</v>
      </c>
      <c r="L34">
        <v>348</v>
      </c>
      <c r="N34">
        <v>348.4</v>
      </c>
      <c r="Q34">
        <f t="shared" si="12"/>
        <v>0.39999999999997726</v>
      </c>
    </row>
    <row r="35" spans="6:17" x14ac:dyDescent="0.2">
      <c r="F35">
        <v>225</v>
      </c>
      <c r="G35">
        <f t="shared" si="8"/>
        <v>266.71428571428572</v>
      </c>
      <c r="H35">
        <f t="shared" si="9"/>
        <v>41.714285714285715</v>
      </c>
      <c r="I35">
        <f t="shared" si="10"/>
        <v>287.85714285714283</v>
      </c>
      <c r="J35">
        <f t="shared" si="11"/>
        <v>62.857142857142854</v>
      </c>
      <c r="L35">
        <v>348</v>
      </c>
      <c r="N35">
        <v>348.4</v>
      </c>
      <c r="Q35">
        <f t="shared" si="12"/>
        <v>0.39999999999997726</v>
      </c>
    </row>
    <row r="36" spans="6:17" x14ac:dyDescent="0.2">
      <c r="F36">
        <v>200</v>
      </c>
      <c r="G36">
        <f t="shared" si="8"/>
        <v>241.71428571428572</v>
      </c>
      <c r="H36">
        <f t="shared" si="9"/>
        <v>41.714285714285715</v>
      </c>
      <c r="I36">
        <f t="shared" si="10"/>
        <v>262.85714285714283</v>
      </c>
      <c r="J36">
        <f t="shared" si="11"/>
        <v>62.857142857142854</v>
      </c>
      <c r="L36">
        <v>348</v>
      </c>
      <c r="N36">
        <v>348.4</v>
      </c>
      <c r="Q36">
        <f t="shared" si="12"/>
        <v>0.39999999999997726</v>
      </c>
    </row>
    <row r="37" spans="6:17" x14ac:dyDescent="0.2">
      <c r="F37">
        <v>180</v>
      </c>
      <c r="G37">
        <f t="shared" si="8"/>
        <v>213.37142857142857</v>
      </c>
      <c r="H37">
        <f t="shared" si="9"/>
        <v>33.371428571428574</v>
      </c>
      <c r="I37">
        <f t="shared" si="10"/>
        <v>230.28571428571428</v>
      </c>
      <c r="J37">
        <f t="shared" si="11"/>
        <v>50.285714285714285</v>
      </c>
      <c r="L37">
        <v>348</v>
      </c>
      <c r="N37">
        <v>348.4</v>
      </c>
      <c r="Q37">
        <f t="shared" si="12"/>
        <v>0.39999999999997726</v>
      </c>
    </row>
    <row r="38" spans="6:17" x14ac:dyDescent="0.2">
      <c r="F38">
        <v>155</v>
      </c>
      <c r="G38">
        <f t="shared" si="8"/>
        <v>188.37142857142857</v>
      </c>
      <c r="H38">
        <f t="shared" si="9"/>
        <v>33.371428571428574</v>
      </c>
      <c r="I38">
        <f t="shared" si="10"/>
        <v>205.28571428571428</v>
      </c>
      <c r="J38">
        <f t="shared" si="11"/>
        <v>50.285714285714285</v>
      </c>
      <c r="L38">
        <v>348</v>
      </c>
      <c r="N38">
        <v>348.4</v>
      </c>
      <c r="Q38">
        <f t="shared" si="12"/>
        <v>0.39999999999997726</v>
      </c>
    </row>
    <row r="39" spans="6:17" x14ac:dyDescent="0.2">
      <c r="F39">
        <v>135</v>
      </c>
      <c r="G39">
        <f t="shared" si="8"/>
        <v>160.02857142857144</v>
      </c>
      <c r="H39">
        <f t="shared" si="9"/>
        <v>25.028571428571428</v>
      </c>
      <c r="I39">
        <f t="shared" si="10"/>
        <v>172.71428571428572</v>
      </c>
      <c r="J39">
        <f t="shared" si="11"/>
        <v>37.714285714285715</v>
      </c>
      <c r="L39">
        <v>348</v>
      </c>
      <c r="N39">
        <v>348.4</v>
      </c>
      <c r="Q39">
        <f t="shared" si="12"/>
        <v>0.39999999999997726</v>
      </c>
    </row>
    <row r="40" spans="6:17" x14ac:dyDescent="0.2">
      <c r="F40">
        <v>110</v>
      </c>
      <c r="G40">
        <f t="shared" si="8"/>
        <v>135.02857142857144</v>
      </c>
      <c r="H40">
        <f t="shared" si="9"/>
        <v>25.028571428571428</v>
      </c>
      <c r="I40">
        <f t="shared" si="10"/>
        <v>147.71428571428572</v>
      </c>
      <c r="J40">
        <f t="shared" si="11"/>
        <v>37.714285714285715</v>
      </c>
      <c r="L40">
        <v>348</v>
      </c>
      <c r="N40">
        <v>348.4</v>
      </c>
      <c r="Q40">
        <f t="shared" si="12"/>
        <v>0.39999999999997726</v>
      </c>
    </row>
    <row r="41" spans="6:17" x14ac:dyDescent="0.2">
      <c r="F41">
        <v>90</v>
      </c>
      <c r="G41">
        <f t="shared" si="8"/>
        <v>106.68571428571428</v>
      </c>
      <c r="H41">
        <f t="shared" si="9"/>
        <v>16.685714285714287</v>
      </c>
      <c r="I41">
        <f t="shared" si="10"/>
        <v>115.14285714285714</v>
      </c>
      <c r="J41">
        <f t="shared" si="11"/>
        <v>25.142857142857142</v>
      </c>
      <c r="L41">
        <v>348</v>
      </c>
      <c r="N41">
        <v>348.4</v>
      </c>
      <c r="Q41">
        <f t="shared" si="12"/>
        <v>0.39999999999997726</v>
      </c>
    </row>
    <row r="42" spans="6:17" x14ac:dyDescent="0.2">
      <c r="F42">
        <v>65</v>
      </c>
      <c r="G42">
        <f t="shared" si="8"/>
        <v>81.685714285714283</v>
      </c>
      <c r="H42">
        <f t="shared" si="9"/>
        <v>16.685714285714287</v>
      </c>
      <c r="I42">
        <f t="shared" si="10"/>
        <v>90.142857142857139</v>
      </c>
      <c r="J42">
        <f t="shared" si="11"/>
        <v>25.142857142857142</v>
      </c>
      <c r="L42">
        <v>348</v>
      </c>
      <c r="N42">
        <v>348.4</v>
      </c>
      <c r="Q42">
        <f t="shared" si="12"/>
        <v>0.39999999999997726</v>
      </c>
    </row>
    <row r="43" spans="6:17" x14ac:dyDescent="0.2">
      <c r="F43">
        <v>45</v>
      </c>
      <c r="G43">
        <f t="shared" si="8"/>
        <v>53.342857142857142</v>
      </c>
      <c r="H43">
        <f t="shared" si="9"/>
        <v>8.3428571428571434</v>
      </c>
      <c r="I43">
        <f t="shared" si="10"/>
        <v>57.571428571428569</v>
      </c>
      <c r="J43">
        <f t="shared" si="11"/>
        <v>12.571428571428571</v>
      </c>
      <c r="L43">
        <v>348</v>
      </c>
      <c r="N43">
        <v>348.4</v>
      </c>
      <c r="Q43">
        <f t="shared" si="12"/>
        <v>0.39999999999997726</v>
      </c>
    </row>
    <row r="44" spans="6:17" x14ac:dyDescent="0.2">
      <c r="F44">
        <v>20</v>
      </c>
      <c r="G44">
        <f t="shared" si="8"/>
        <v>28.342857142857142</v>
      </c>
      <c r="H44">
        <f t="shared" si="9"/>
        <v>8.3428571428571434</v>
      </c>
      <c r="I44">
        <f t="shared" si="10"/>
        <v>32.571428571428569</v>
      </c>
      <c r="J44">
        <f t="shared" si="11"/>
        <v>12.571428571428571</v>
      </c>
      <c r="L44">
        <v>348</v>
      </c>
      <c r="N44">
        <v>348.4</v>
      </c>
      <c r="Q44">
        <f t="shared" si="12"/>
        <v>0.39999999999997726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2025-07-03T15:16:11Z</dcterms:modified>
</cp:coreProperties>
</file>